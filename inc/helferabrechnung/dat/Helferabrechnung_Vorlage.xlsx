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nggiR\Downloads\"/>
    </mc:Choice>
  </mc:AlternateContent>
  <xr:revisionPtr revIDLastSave="0" documentId="13_ncr:1_{D76593A6-F747-49B3-BAE8-3CE306A56EFD}" xr6:coauthVersionLast="47" xr6:coauthVersionMax="47" xr10:uidLastSave="{00000000-0000-0000-0000-000000000000}"/>
  <bookViews>
    <workbookView xWindow="4395" yWindow="2625" windowWidth="38700" windowHeight="15345" tabRatio="500" xr2:uid="{00000000-000D-0000-FFFF-FFFF00000000}"/>
  </bookViews>
  <sheets>
    <sheet name="Uebersicht" sheetId="1" r:id="rId1"/>
    <sheet name="Original PDF" sheetId="7" r:id="rId2"/>
    <sheet name="Zuteilungen" sheetId="2" r:id="rId3"/>
    <sheet name="Stammdaten" sheetId="3" r:id="rId4"/>
    <sheet name="Pro Person" sheetId="4" r:id="rId5"/>
    <sheet name="Vor- und Nacharbeiten" sheetId="5" r:id="rId6"/>
    <sheet name="Korrekturen" sheetId="6" r:id="rId7"/>
  </sheets>
  <definedNames>
    <definedName name="_xlnm._FilterDatabase" localSheetId="4" hidden="1">'Pro Person'!$A$1:$D$71</definedName>
    <definedName name="_xlnm._FilterDatabase" localSheetId="2" hidden="1">Zuteilungen!$A$1:$I$200</definedName>
    <definedName name="_xlnm.Print_Titles" localSheetId="4">'Pro Person'!$1:$1</definedName>
    <definedName name="_xlnm.Print_Titles" localSheetId="2">Zuteilungen!$1:$1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6" i="7" l="1"/>
  <c r="P46" i="7"/>
  <c r="O46" i="7"/>
  <c r="M46" i="7"/>
  <c r="L46" i="7"/>
  <c r="K46" i="7"/>
  <c r="I46" i="7"/>
  <c r="H46" i="7"/>
  <c r="G46" i="7"/>
  <c r="E46" i="7"/>
  <c r="D46" i="7"/>
  <c r="C46" i="7"/>
  <c r="Q44" i="7"/>
  <c r="O44" i="7"/>
  <c r="H44" i="7"/>
  <c r="G44" i="7"/>
  <c r="D44" i="7"/>
  <c r="Q42" i="7"/>
  <c r="P42" i="7"/>
  <c r="P44" i="7" s="1"/>
  <c r="O42" i="7"/>
  <c r="M42" i="7"/>
  <c r="M44" i="7" s="1"/>
  <c r="L42" i="7"/>
  <c r="L44" i="7" s="1"/>
  <c r="K42" i="7"/>
  <c r="K44" i="7" s="1"/>
  <c r="I42" i="7"/>
  <c r="I44" i="7" s="1"/>
  <c r="H42" i="7"/>
  <c r="G42" i="7"/>
  <c r="E42" i="7"/>
  <c r="E44" i="7" s="1"/>
  <c r="D42" i="7"/>
  <c r="C42" i="7"/>
  <c r="C44" i="7" s="1"/>
  <c r="D69" i="5"/>
  <c r="A69" i="5"/>
  <c r="E69" i="5" s="1"/>
  <c r="A68" i="5"/>
  <c r="E68" i="5" s="1"/>
  <c r="E67" i="5"/>
  <c r="D67" i="5"/>
  <c r="A67" i="5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C46" i="4"/>
  <c r="C45" i="4"/>
  <c r="C44" i="4"/>
  <c r="C43" i="4"/>
  <c r="C42" i="4"/>
  <c r="C41" i="4"/>
  <c r="C40" i="4"/>
  <c r="C39" i="4"/>
  <c r="C38" i="4"/>
  <c r="D37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D22" i="4"/>
  <c r="C22" i="4"/>
  <c r="D21" i="4"/>
  <c r="C21" i="4"/>
  <c r="C20" i="4"/>
  <c r="C19" i="4"/>
  <c r="C18" i="4"/>
  <c r="C17" i="4"/>
  <c r="C16" i="4"/>
  <c r="C15" i="4"/>
  <c r="C14" i="4"/>
  <c r="C13" i="4"/>
  <c r="C12" i="4"/>
  <c r="C11" i="4"/>
  <c r="D10" i="4"/>
  <c r="C10" i="4"/>
  <c r="C9" i="4"/>
  <c r="D8" i="4"/>
  <c r="C8" i="4"/>
  <c r="C7" i="4"/>
  <c r="D6" i="4"/>
  <c r="C6" i="4"/>
  <c r="C5" i="4"/>
  <c r="C4" i="4"/>
  <c r="C3" i="4"/>
  <c r="C2" i="4"/>
  <c r="G9" i="3"/>
  <c r="G8" i="3"/>
  <c r="G7" i="3"/>
  <c r="G6" i="3"/>
  <c r="G5" i="3"/>
  <c r="G4" i="3"/>
  <c r="H84" i="2" s="1"/>
  <c r="J200" i="2"/>
  <c r="H200" i="2"/>
  <c r="B200" i="2"/>
  <c r="J199" i="2"/>
  <c r="H199" i="2"/>
  <c r="B199" i="2"/>
  <c r="J198" i="2"/>
  <c r="H198" i="2"/>
  <c r="B198" i="2"/>
  <c r="J197" i="2"/>
  <c r="H197" i="2"/>
  <c r="B197" i="2"/>
  <c r="J196" i="2"/>
  <c r="H196" i="2"/>
  <c r="B196" i="2"/>
  <c r="J195" i="2"/>
  <c r="H195" i="2"/>
  <c r="B195" i="2"/>
  <c r="J194" i="2"/>
  <c r="H194" i="2"/>
  <c r="B194" i="2"/>
  <c r="J193" i="2"/>
  <c r="H193" i="2"/>
  <c r="B193" i="2"/>
  <c r="J192" i="2"/>
  <c r="H192" i="2"/>
  <c r="B192" i="2"/>
  <c r="J191" i="2"/>
  <c r="H191" i="2"/>
  <c r="B191" i="2"/>
  <c r="J190" i="2"/>
  <c r="H190" i="2"/>
  <c r="B190" i="2"/>
  <c r="J189" i="2"/>
  <c r="H189" i="2"/>
  <c r="B189" i="2"/>
  <c r="J188" i="2"/>
  <c r="H188" i="2"/>
  <c r="B188" i="2"/>
  <c r="J187" i="2"/>
  <c r="H187" i="2"/>
  <c r="B187" i="2"/>
  <c r="J186" i="2"/>
  <c r="H186" i="2"/>
  <c r="B186" i="2"/>
  <c r="J185" i="2"/>
  <c r="H185" i="2"/>
  <c r="B185" i="2"/>
  <c r="J184" i="2"/>
  <c r="H184" i="2"/>
  <c r="B184" i="2"/>
  <c r="J183" i="2"/>
  <c r="H183" i="2"/>
  <c r="B183" i="2"/>
  <c r="J182" i="2"/>
  <c r="H182" i="2"/>
  <c r="B182" i="2"/>
  <c r="J181" i="2"/>
  <c r="H181" i="2"/>
  <c r="B181" i="2"/>
  <c r="J180" i="2"/>
  <c r="H180" i="2"/>
  <c r="B180" i="2"/>
  <c r="J179" i="2"/>
  <c r="H179" i="2"/>
  <c r="B179" i="2"/>
  <c r="J178" i="2"/>
  <c r="H178" i="2"/>
  <c r="B178" i="2"/>
  <c r="J177" i="2"/>
  <c r="H177" i="2"/>
  <c r="B177" i="2"/>
  <c r="J176" i="2"/>
  <c r="H176" i="2"/>
  <c r="B176" i="2"/>
  <c r="J175" i="2"/>
  <c r="H175" i="2"/>
  <c r="B175" i="2"/>
  <c r="J174" i="2"/>
  <c r="H174" i="2"/>
  <c r="B174" i="2"/>
  <c r="J173" i="2"/>
  <c r="H173" i="2"/>
  <c r="B173" i="2"/>
  <c r="J172" i="2"/>
  <c r="H172" i="2"/>
  <c r="B172" i="2"/>
  <c r="J171" i="2"/>
  <c r="H171" i="2"/>
  <c r="B171" i="2"/>
  <c r="J170" i="2"/>
  <c r="H170" i="2"/>
  <c r="B170" i="2"/>
  <c r="J169" i="2"/>
  <c r="H169" i="2"/>
  <c r="B169" i="2"/>
  <c r="J168" i="2"/>
  <c r="H168" i="2"/>
  <c r="B168" i="2"/>
  <c r="J167" i="2"/>
  <c r="H167" i="2"/>
  <c r="B167" i="2"/>
  <c r="J166" i="2"/>
  <c r="H166" i="2"/>
  <c r="B166" i="2"/>
  <c r="J165" i="2"/>
  <c r="H165" i="2"/>
  <c r="B165" i="2"/>
  <c r="J164" i="2"/>
  <c r="H164" i="2"/>
  <c r="B164" i="2"/>
  <c r="J163" i="2"/>
  <c r="H163" i="2"/>
  <c r="B163" i="2"/>
  <c r="J162" i="2"/>
  <c r="H162" i="2"/>
  <c r="B162" i="2"/>
  <c r="J161" i="2"/>
  <c r="H161" i="2"/>
  <c r="B161" i="2"/>
  <c r="J160" i="2"/>
  <c r="H160" i="2"/>
  <c r="B160" i="2"/>
  <c r="J159" i="2"/>
  <c r="H159" i="2"/>
  <c r="B159" i="2"/>
  <c r="J158" i="2"/>
  <c r="H158" i="2"/>
  <c r="B158" i="2"/>
  <c r="J157" i="2"/>
  <c r="H157" i="2"/>
  <c r="B157" i="2"/>
  <c r="J156" i="2"/>
  <c r="H156" i="2"/>
  <c r="B156" i="2"/>
  <c r="J155" i="2"/>
  <c r="H155" i="2"/>
  <c r="B155" i="2"/>
  <c r="J154" i="2"/>
  <c r="H154" i="2"/>
  <c r="B154" i="2"/>
  <c r="J153" i="2"/>
  <c r="H153" i="2"/>
  <c r="B153" i="2"/>
  <c r="J152" i="2"/>
  <c r="H152" i="2"/>
  <c r="B152" i="2"/>
  <c r="J151" i="2"/>
  <c r="H151" i="2"/>
  <c r="B151" i="2"/>
  <c r="J150" i="2"/>
  <c r="H150" i="2"/>
  <c r="B150" i="2"/>
  <c r="J149" i="2"/>
  <c r="H149" i="2"/>
  <c r="B149" i="2"/>
  <c r="J148" i="2"/>
  <c r="H148" i="2"/>
  <c r="B148" i="2"/>
  <c r="J147" i="2"/>
  <c r="H147" i="2"/>
  <c r="B147" i="2"/>
  <c r="J146" i="2"/>
  <c r="H146" i="2"/>
  <c r="B146" i="2"/>
  <c r="J145" i="2"/>
  <c r="H145" i="2"/>
  <c r="B145" i="2"/>
  <c r="J144" i="2"/>
  <c r="H144" i="2"/>
  <c r="B144" i="2"/>
  <c r="J143" i="2"/>
  <c r="H143" i="2"/>
  <c r="B143" i="2"/>
  <c r="J142" i="2"/>
  <c r="H142" i="2"/>
  <c r="B142" i="2"/>
  <c r="J141" i="2"/>
  <c r="H141" i="2"/>
  <c r="B141" i="2"/>
  <c r="J140" i="2"/>
  <c r="H140" i="2"/>
  <c r="B140" i="2"/>
  <c r="J139" i="2"/>
  <c r="H139" i="2"/>
  <c r="B139" i="2"/>
  <c r="J138" i="2"/>
  <c r="H138" i="2"/>
  <c r="B138" i="2"/>
  <c r="J137" i="2"/>
  <c r="H137" i="2"/>
  <c r="B137" i="2"/>
  <c r="J136" i="2"/>
  <c r="H136" i="2"/>
  <c r="B136" i="2"/>
  <c r="J135" i="2"/>
  <c r="H135" i="2"/>
  <c r="B135" i="2"/>
  <c r="J134" i="2"/>
  <c r="H134" i="2"/>
  <c r="B134" i="2"/>
  <c r="J133" i="2"/>
  <c r="H133" i="2"/>
  <c r="B133" i="2"/>
  <c r="J132" i="2"/>
  <c r="H132" i="2"/>
  <c r="B132" i="2"/>
  <c r="J131" i="2"/>
  <c r="H131" i="2"/>
  <c r="B131" i="2"/>
  <c r="J130" i="2"/>
  <c r="H130" i="2"/>
  <c r="B130" i="2"/>
  <c r="J129" i="2"/>
  <c r="H129" i="2"/>
  <c r="B129" i="2"/>
  <c r="J128" i="2"/>
  <c r="H128" i="2"/>
  <c r="B128" i="2"/>
  <c r="J127" i="2"/>
  <c r="H127" i="2"/>
  <c r="B127" i="2"/>
  <c r="J126" i="2"/>
  <c r="H126" i="2"/>
  <c r="B126" i="2"/>
  <c r="J125" i="2"/>
  <c r="H125" i="2"/>
  <c r="B125" i="2"/>
  <c r="J124" i="2"/>
  <c r="H124" i="2"/>
  <c r="B124" i="2"/>
  <c r="J123" i="2"/>
  <c r="H123" i="2"/>
  <c r="B123" i="2"/>
  <c r="J122" i="2"/>
  <c r="H122" i="2"/>
  <c r="B122" i="2"/>
  <c r="J121" i="2"/>
  <c r="H121" i="2"/>
  <c r="B121" i="2"/>
  <c r="J120" i="2"/>
  <c r="H120" i="2"/>
  <c r="B120" i="2"/>
  <c r="J119" i="2"/>
  <c r="H119" i="2"/>
  <c r="B119" i="2"/>
  <c r="J118" i="2"/>
  <c r="H118" i="2"/>
  <c r="B118" i="2"/>
  <c r="J117" i="2"/>
  <c r="H117" i="2"/>
  <c r="B117" i="2"/>
  <c r="J116" i="2"/>
  <c r="H116" i="2"/>
  <c r="B116" i="2"/>
  <c r="J115" i="2"/>
  <c r="H115" i="2"/>
  <c r="B115" i="2"/>
  <c r="J114" i="2"/>
  <c r="H114" i="2"/>
  <c r="B114" i="2"/>
  <c r="J113" i="2"/>
  <c r="H113" i="2"/>
  <c r="B113" i="2"/>
  <c r="J112" i="2"/>
  <c r="H112" i="2"/>
  <c r="B112" i="2"/>
  <c r="J111" i="2"/>
  <c r="H111" i="2"/>
  <c r="B111" i="2"/>
  <c r="J110" i="2"/>
  <c r="H110" i="2"/>
  <c r="B110" i="2"/>
  <c r="J109" i="2"/>
  <c r="H109" i="2"/>
  <c r="B109" i="2"/>
  <c r="J108" i="2"/>
  <c r="H108" i="2"/>
  <c r="B108" i="2"/>
  <c r="J107" i="2"/>
  <c r="H107" i="2"/>
  <c r="B107" i="2"/>
  <c r="J106" i="2"/>
  <c r="H106" i="2"/>
  <c r="B106" i="2"/>
  <c r="J105" i="2"/>
  <c r="H105" i="2"/>
  <c r="B105" i="2"/>
  <c r="J104" i="2"/>
  <c r="H104" i="2"/>
  <c r="B104" i="2"/>
  <c r="J103" i="2"/>
  <c r="H103" i="2"/>
  <c r="B103" i="2"/>
  <c r="J102" i="2"/>
  <c r="H102" i="2"/>
  <c r="B102" i="2"/>
  <c r="J101" i="2"/>
  <c r="H101" i="2"/>
  <c r="B101" i="2"/>
  <c r="J100" i="2"/>
  <c r="H100" i="2"/>
  <c r="B100" i="2"/>
  <c r="J99" i="2"/>
  <c r="H99" i="2"/>
  <c r="B99" i="2"/>
  <c r="J98" i="2"/>
  <c r="H98" i="2"/>
  <c r="B98" i="2"/>
  <c r="J97" i="2"/>
  <c r="B97" i="2"/>
  <c r="J96" i="2"/>
  <c r="H96" i="2"/>
  <c r="B96" i="2"/>
  <c r="J95" i="2"/>
  <c r="H95" i="2"/>
  <c r="B95" i="2"/>
  <c r="J94" i="2"/>
  <c r="H94" i="2"/>
  <c r="B94" i="2"/>
  <c r="J93" i="2"/>
  <c r="H93" i="2"/>
  <c r="B93" i="2"/>
  <c r="J92" i="2"/>
  <c r="H92" i="2"/>
  <c r="B92" i="2"/>
  <c r="J91" i="2"/>
  <c r="H91" i="2"/>
  <c r="B91" i="2"/>
  <c r="J90" i="2"/>
  <c r="H90" i="2"/>
  <c r="D35" i="4" s="1"/>
  <c r="B90" i="2"/>
  <c r="J89" i="2"/>
  <c r="H89" i="2"/>
  <c r="B89" i="2"/>
  <c r="J88" i="2"/>
  <c r="B88" i="2"/>
  <c r="J87" i="2"/>
  <c r="H87" i="2"/>
  <c r="D32" i="4" s="1"/>
  <c r="B87" i="2"/>
  <c r="J86" i="2"/>
  <c r="H86" i="2"/>
  <c r="B86" i="2"/>
  <c r="J85" i="2"/>
  <c r="H85" i="2"/>
  <c r="B85" i="2"/>
  <c r="J84" i="2"/>
  <c r="B84" i="2"/>
  <c r="J83" i="2"/>
  <c r="H83" i="2"/>
  <c r="B83" i="2"/>
  <c r="J82" i="2"/>
  <c r="H82" i="2"/>
  <c r="B82" i="2"/>
  <c r="J81" i="2"/>
  <c r="H81" i="2"/>
  <c r="B81" i="2"/>
  <c r="J80" i="2"/>
  <c r="B80" i="2"/>
  <c r="J79" i="2"/>
  <c r="H79" i="2"/>
  <c r="D39" i="4" s="1"/>
  <c r="B79" i="2"/>
  <c r="J78" i="2"/>
  <c r="H78" i="2"/>
  <c r="B78" i="2"/>
  <c r="J77" i="2"/>
  <c r="H77" i="2"/>
  <c r="B77" i="2"/>
  <c r="J76" i="2"/>
  <c r="B76" i="2"/>
  <c r="J75" i="2"/>
  <c r="H75" i="2"/>
  <c r="D45" i="4" s="1"/>
  <c r="B75" i="2"/>
  <c r="J74" i="2"/>
  <c r="H74" i="2"/>
  <c r="B74" i="2"/>
  <c r="J73" i="2"/>
  <c r="H73" i="2"/>
  <c r="B73" i="2"/>
  <c r="J72" i="2"/>
  <c r="B72" i="2"/>
  <c r="J71" i="2"/>
  <c r="H71" i="2"/>
  <c r="B71" i="2"/>
  <c r="J70" i="2"/>
  <c r="H70" i="2"/>
  <c r="B70" i="2"/>
  <c r="J69" i="2"/>
  <c r="H69" i="2"/>
  <c r="B69" i="2"/>
  <c r="J68" i="2"/>
  <c r="B68" i="2"/>
  <c r="J67" i="2"/>
  <c r="H67" i="2"/>
  <c r="D14" i="4" s="1"/>
  <c r="B67" i="2"/>
  <c r="J66" i="2"/>
  <c r="H66" i="2"/>
  <c r="D16" i="4" s="1"/>
  <c r="B66" i="2"/>
  <c r="J65" i="2"/>
  <c r="H65" i="2"/>
  <c r="B65" i="2"/>
  <c r="J64" i="2"/>
  <c r="B64" i="2"/>
  <c r="J63" i="2"/>
  <c r="H63" i="2"/>
  <c r="B63" i="2"/>
  <c r="J62" i="2"/>
  <c r="H62" i="2"/>
  <c r="D12" i="4" s="1"/>
  <c r="B62" i="2"/>
  <c r="J61" i="2"/>
  <c r="H61" i="2"/>
  <c r="B61" i="2"/>
  <c r="J60" i="2"/>
  <c r="B60" i="2"/>
  <c r="J59" i="2"/>
  <c r="H59" i="2"/>
  <c r="B59" i="2"/>
  <c r="J58" i="2"/>
  <c r="H58" i="2"/>
  <c r="B58" i="2"/>
  <c r="J57" i="2"/>
  <c r="H57" i="2"/>
  <c r="B57" i="2"/>
  <c r="J56" i="2"/>
  <c r="B56" i="2"/>
  <c r="J55" i="2"/>
  <c r="H55" i="2"/>
  <c r="B55" i="2"/>
  <c r="J54" i="2"/>
  <c r="H54" i="2"/>
  <c r="B54" i="2"/>
  <c r="J53" i="2"/>
  <c r="H53" i="2"/>
  <c r="B53" i="2"/>
  <c r="J52" i="2"/>
  <c r="B52" i="2"/>
  <c r="J51" i="2"/>
  <c r="H51" i="2"/>
  <c r="D17" i="4" s="1"/>
  <c r="B51" i="2"/>
  <c r="J50" i="2"/>
  <c r="H50" i="2"/>
  <c r="D28" i="4" s="1"/>
  <c r="B50" i="2"/>
  <c r="J49" i="2"/>
  <c r="H49" i="2"/>
  <c r="B49" i="2"/>
  <c r="J48" i="2"/>
  <c r="H48" i="2"/>
  <c r="D20" i="4" s="1"/>
  <c r="B48" i="2"/>
  <c r="J47" i="2"/>
  <c r="H47" i="2"/>
  <c r="D30" i="4" s="1"/>
  <c r="B47" i="2"/>
  <c r="J46" i="2"/>
  <c r="H46" i="2"/>
  <c r="D2" i="4" s="1"/>
  <c r="B46" i="2"/>
  <c r="J45" i="2"/>
  <c r="H45" i="2"/>
  <c r="D25" i="4" s="1"/>
  <c r="B45" i="2"/>
  <c r="J44" i="2"/>
  <c r="H44" i="2"/>
  <c r="B44" i="2"/>
  <c r="J43" i="2"/>
  <c r="H43" i="2"/>
  <c r="D43" i="4" s="1"/>
  <c r="B43" i="2"/>
  <c r="J42" i="2"/>
  <c r="H42" i="2"/>
  <c r="B42" i="2"/>
  <c r="J41" i="2"/>
  <c r="H41" i="2"/>
  <c r="B41" i="2"/>
  <c r="J40" i="2"/>
  <c r="H40" i="2"/>
  <c r="B40" i="2"/>
  <c r="J39" i="2"/>
  <c r="H39" i="2"/>
  <c r="B39" i="2"/>
  <c r="J38" i="2"/>
  <c r="H38" i="2"/>
  <c r="B38" i="2"/>
  <c r="J37" i="2"/>
  <c r="H37" i="2"/>
  <c r="B37" i="2"/>
  <c r="J36" i="2"/>
  <c r="H36" i="2"/>
  <c r="B36" i="2"/>
  <c r="J35" i="2"/>
  <c r="H35" i="2"/>
  <c r="B35" i="2"/>
  <c r="J34" i="2"/>
  <c r="H34" i="2"/>
  <c r="B34" i="2"/>
  <c r="J33" i="2"/>
  <c r="H33" i="2"/>
  <c r="B33" i="2"/>
  <c r="J32" i="2"/>
  <c r="H32" i="2"/>
  <c r="B32" i="2"/>
  <c r="J31" i="2"/>
  <c r="H31" i="2"/>
  <c r="B31" i="2"/>
  <c r="J30" i="2"/>
  <c r="H30" i="2"/>
  <c r="B30" i="2"/>
  <c r="J29" i="2"/>
  <c r="H29" i="2"/>
  <c r="D46" i="4" s="1"/>
  <c r="B29" i="2"/>
  <c r="J28" i="2"/>
  <c r="H28" i="2"/>
  <c r="B28" i="2"/>
  <c r="J27" i="2"/>
  <c r="H27" i="2"/>
  <c r="D7" i="4" s="1"/>
  <c r="B27" i="2"/>
  <c r="J26" i="2"/>
  <c r="H26" i="2"/>
  <c r="D24" i="4" s="1"/>
  <c r="B26" i="2"/>
  <c r="J25" i="2"/>
  <c r="H25" i="2"/>
  <c r="B25" i="2"/>
  <c r="J24" i="2"/>
  <c r="H24" i="2"/>
  <c r="B24" i="2"/>
  <c r="J23" i="2"/>
  <c r="H23" i="2"/>
  <c r="D40" i="4" s="1"/>
  <c r="B23" i="2"/>
  <c r="J22" i="2"/>
  <c r="H22" i="2"/>
  <c r="B22" i="2"/>
  <c r="J21" i="2"/>
  <c r="H21" i="2"/>
  <c r="B21" i="2"/>
  <c r="J20" i="2"/>
  <c r="H20" i="2"/>
  <c r="B20" i="2"/>
  <c r="J19" i="2"/>
  <c r="H19" i="2"/>
  <c r="D23" i="4" s="1"/>
  <c r="B19" i="2"/>
  <c r="J18" i="2"/>
  <c r="H18" i="2"/>
  <c r="B18" i="2"/>
  <c r="J17" i="2"/>
  <c r="H17" i="2"/>
  <c r="D15" i="4" s="1"/>
  <c r="B17" i="2"/>
  <c r="J16" i="2"/>
  <c r="H16" i="2"/>
  <c r="D34" i="4" s="1"/>
  <c r="B16" i="2"/>
  <c r="J15" i="2"/>
  <c r="H15" i="2"/>
  <c r="D38" i="4" s="1"/>
  <c r="B15" i="2"/>
  <c r="J14" i="2"/>
  <c r="H14" i="2"/>
  <c r="B14" i="2"/>
  <c r="J13" i="2"/>
  <c r="H13" i="2"/>
  <c r="B13" i="2"/>
  <c r="J12" i="2"/>
  <c r="H12" i="2"/>
  <c r="B12" i="2"/>
  <c r="J11" i="2"/>
  <c r="H11" i="2"/>
  <c r="D36" i="4" s="1"/>
  <c r="B11" i="2"/>
  <c r="J10" i="2"/>
  <c r="H10" i="2"/>
  <c r="B10" i="2"/>
  <c r="J9" i="2"/>
  <c r="H9" i="2"/>
  <c r="B9" i="2"/>
  <c r="J8" i="2"/>
  <c r="H8" i="2"/>
  <c r="B8" i="2"/>
  <c r="J7" i="2"/>
  <c r="H7" i="2"/>
  <c r="D41" i="4" s="1"/>
  <c r="B7" i="2"/>
  <c r="J6" i="2"/>
  <c r="H6" i="2"/>
  <c r="D9" i="4" s="1"/>
  <c r="B6" i="2"/>
  <c r="J5" i="2"/>
  <c r="H5" i="2"/>
  <c r="B5" i="2"/>
  <c r="J4" i="2"/>
  <c r="H4" i="2"/>
  <c r="B4" i="2"/>
  <c r="J3" i="2"/>
  <c r="H3" i="2"/>
  <c r="B3" i="2"/>
  <c r="J2" i="2"/>
  <c r="H2" i="2"/>
  <c r="B2" i="2"/>
  <c r="C44" i="1"/>
  <c r="C42" i="1"/>
  <c r="C40" i="1"/>
  <c r="E30" i="1"/>
  <c r="E32" i="1" s="1"/>
  <c r="D30" i="1"/>
  <c r="D32" i="1" s="1"/>
  <c r="C30" i="1"/>
  <c r="C32" i="1" s="1"/>
  <c r="B25" i="1"/>
  <c r="A25" i="1"/>
  <c r="B24" i="1"/>
  <c r="A24" i="1"/>
  <c r="B23" i="1"/>
  <c r="A23" i="1"/>
  <c r="C23" i="1" s="1"/>
  <c r="D22" i="1"/>
  <c r="B22" i="1"/>
  <c r="A22" i="1"/>
  <c r="C22" i="1" s="1"/>
  <c r="B21" i="1"/>
  <c r="A21" i="1"/>
  <c r="C21" i="1" s="1"/>
  <c r="B20" i="1"/>
  <c r="A20" i="1"/>
  <c r="D20" i="1" s="1"/>
  <c r="E19" i="1"/>
  <c r="D19" i="1"/>
  <c r="C19" i="1"/>
  <c r="B14" i="1"/>
  <c r="A14" i="1"/>
  <c r="F14" i="1" s="1"/>
  <c r="B13" i="1"/>
  <c r="A13" i="1"/>
  <c r="B12" i="1"/>
  <c r="A12" i="1"/>
  <c r="B11" i="1"/>
  <c r="A11" i="1"/>
  <c r="B10" i="1"/>
  <c r="A10" i="1"/>
  <c r="B9" i="1"/>
  <c r="A9" i="1"/>
  <c r="E8" i="1"/>
  <c r="E13" i="1" s="1"/>
  <c r="D8" i="1"/>
  <c r="D13" i="1" s="1"/>
  <c r="C8" i="1"/>
  <c r="D42" i="4" l="1"/>
  <c r="D12" i="1"/>
  <c r="E12" i="1"/>
  <c r="D14" i="1"/>
  <c r="C13" i="1"/>
  <c r="E14" i="1"/>
  <c r="D21" i="1"/>
  <c r="D23" i="1"/>
  <c r="C14" i="1"/>
  <c r="E11" i="1"/>
  <c r="E22" i="1"/>
  <c r="F32" i="1"/>
  <c r="C43" i="1" s="1"/>
  <c r="D44" i="4"/>
  <c r="F25" i="1"/>
  <c r="F22" i="1"/>
  <c r="E23" i="1"/>
  <c r="C25" i="1"/>
  <c r="F64" i="6"/>
  <c r="G63" i="6"/>
  <c r="H62" i="6"/>
  <c r="I61" i="6"/>
  <c r="A61" i="6"/>
  <c r="B60" i="6"/>
  <c r="C59" i="6"/>
  <c r="D58" i="6"/>
  <c r="E57" i="6"/>
  <c r="F56" i="6"/>
  <c r="G55" i="6"/>
  <c r="H54" i="6"/>
  <c r="I53" i="6"/>
  <c r="A53" i="6"/>
  <c r="B52" i="6"/>
  <c r="C51" i="6"/>
  <c r="D50" i="6"/>
  <c r="E49" i="6"/>
  <c r="F48" i="6"/>
  <c r="G47" i="6"/>
  <c r="H46" i="6"/>
  <c r="I45" i="6"/>
  <c r="A45" i="6"/>
  <c r="B44" i="6"/>
  <c r="C43" i="6"/>
  <c r="D42" i="6"/>
  <c r="E41" i="6"/>
  <c r="F40" i="6"/>
  <c r="G39" i="6"/>
  <c r="H38" i="6"/>
  <c r="I37" i="6"/>
  <c r="A37" i="6"/>
  <c r="B36" i="6"/>
  <c r="C35" i="6"/>
  <c r="D34" i="6"/>
  <c r="E33" i="6"/>
  <c r="F32" i="6"/>
  <c r="G31" i="6"/>
  <c r="H30" i="6"/>
  <c r="I29" i="6"/>
  <c r="A29" i="6"/>
  <c r="B28" i="6"/>
  <c r="C27" i="6"/>
  <c r="D26" i="6"/>
  <c r="E25" i="6"/>
  <c r="F24" i="6"/>
  <c r="G23" i="6"/>
  <c r="H22" i="6"/>
  <c r="I21" i="6"/>
  <c r="A21" i="6"/>
  <c r="B20" i="6"/>
  <c r="C19" i="6"/>
  <c r="D18" i="6"/>
  <c r="E17" i="6"/>
  <c r="F16" i="6"/>
  <c r="G15" i="6"/>
  <c r="H14" i="6"/>
  <c r="I13" i="6"/>
  <c r="A13" i="6"/>
  <c r="B12" i="6"/>
  <c r="C11" i="6"/>
  <c r="D10" i="6"/>
  <c r="E9" i="6"/>
  <c r="F8" i="6"/>
  <c r="G7" i="6"/>
  <c r="H6" i="6"/>
  <c r="I5" i="6"/>
  <c r="A5" i="6"/>
  <c r="E64" i="6"/>
  <c r="F63" i="6"/>
  <c r="G62" i="6"/>
  <c r="H61" i="6"/>
  <c r="I60" i="6"/>
  <c r="A60" i="6"/>
  <c r="B59" i="6"/>
  <c r="C58" i="6"/>
  <c r="D57" i="6"/>
  <c r="E56" i="6"/>
  <c r="F55" i="6"/>
  <c r="G54" i="6"/>
  <c r="H53" i="6"/>
  <c r="I52" i="6"/>
  <c r="A52" i="6"/>
  <c r="B51" i="6"/>
  <c r="C50" i="6"/>
  <c r="D49" i="6"/>
  <c r="E48" i="6"/>
  <c r="F47" i="6"/>
  <c r="G46" i="6"/>
  <c r="H45" i="6"/>
  <c r="I44" i="6"/>
  <c r="A44" i="6"/>
  <c r="B43" i="6"/>
  <c r="C42" i="6"/>
  <c r="D41" i="6"/>
  <c r="E40" i="6"/>
  <c r="F39" i="6"/>
  <c r="G38" i="6"/>
  <c r="H37" i="6"/>
  <c r="I36" i="6"/>
  <c r="A36" i="6"/>
  <c r="B35" i="6"/>
  <c r="C34" i="6"/>
  <c r="D33" i="6"/>
  <c r="E32" i="6"/>
  <c r="F31" i="6"/>
  <c r="G30" i="6"/>
  <c r="H29" i="6"/>
  <c r="I28" i="6"/>
  <c r="A28" i="6"/>
  <c r="B27" i="6"/>
  <c r="C26" i="6"/>
  <c r="D25" i="6"/>
  <c r="E24" i="6"/>
  <c r="F23" i="6"/>
  <c r="G22" i="6"/>
  <c r="H21" i="6"/>
  <c r="I20" i="6"/>
  <c r="A20" i="6"/>
  <c r="B19" i="6"/>
  <c r="C18" i="6"/>
  <c r="D17" i="6"/>
  <c r="E16" i="6"/>
  <c r="F15" i="6"/>
  <c r="G14" i="6"/>
  <c r="H13" i="6"/>
  <c r="I12" i="6"/>
  <c r="A12" i="6"/>
  <c r="B11" i="6"/>
  <c r="C10" i="6"/>
  <c r="D9" i="6"/>
  <c r="E8" i="6"/>
  <c r="F7" i="6"/>
  <c r="G6" i="6"/>
  <c r="H5" i="6"/>
  <c r="D64" i="6"/>
  <c r="E63" i="6"/>
  <c r="F62" i="6"/>
  <c r="G61" i="6"/>
  <c r="H60" i="6"/>
  <c r="I59" i="6"/>
  <c r="A59" i="6"/>
  <c r="B58" i="6"/>
  <c r="C57" i="6"/>
  <c r="D56" i="6"/>
  <c r="E55" i="6"/>
  <c r="F54" i="6"/>
  <c r="G53" i="6"/>
  <c r="H52" i="6"/>
  <c r="I51" i="6"/>
  <c r="A51" i="6"/>
  <c r="B50" i="6"/>
  <c r="C49" i="6"/>
  <c r="D48" i="6"/>
  <c r="E47" i="6"/>
  <c r="F46" i="6"/>
  <c r="G45" i="6"/>
  <c r="H44" i="6"/>
  <c r="I43" i="6"/>
  <c r="A43" i="6"/>
  <c r="B42" i="6"/>
  <c r="C41" i="6"/>
  <c r="D40" i="6"/>
  <c r="E39" i="6"/>
  <c r="F38" i="6"/>
  <c r="G37" i="6"/>
  <c r="H36" i="6"/>
  <c r="I35" i="6"/>
  <c r="A35" i="6"/>
  <c r="B34" i="6"/>
  <c r="C33" i="6"/>
  <c r="D32" i="6"/>
  <c r="E31" i="6"/>
  <c r="F30" i="6"/>
  <c r="G29" i="6"/>
  <c r="H28" i="6"/>
  <c r="I27" i="6"/>
  <c r="A27" i="6"/>
  <c r="B26" i="6"/>
  <c r="C25" i="6"/>
  <c r="D24" i="6"/>
  <c r="E23" i="6"/>
  <c r="F22" i="6"/>
  <c r="G21" i="6"/>
  <c r="H20" i="6"/>
  <c r="I19" i="6"/>
  <c r="A19" i="6"/>
  <c r="B18" i="6"/>
  <c r="C17" i="6"/>
  <c r="D16" i="6"/>
  <c r="E15" i="6"/>
  <c r="F14" i="6"/>
  <c r="G13" i="6"/>
  <c r="H12" i="6"/>
  <c r="I11" i="6"/>
  <c r="A11" i="6"/>
  <c r="B10" i="6"/>
  <c r="C9" i="6"/>
  <c r="D8" i="6"/>
  <c r="E7" i="6"/>
  <c r="F6" i="6"/>
  <c r="G5" i="6"/>
  <c r="C64" i="6"/>
  <c r="D63" i="6"/>
  <c r="E62" i="6"/>
  <c r="F61" i="6"/>
  <c r="G60" i="6"/>
  <c r="H59" i="6"/>
  <c r="I58" i="6"/>
  <c r="A58" i="6"/>
  <c r="B57" i="6"/>
  <c r="C56" i="6"/>
  <c r="D55" i="6"/>
  <c r="E54" i="6"/>
  <c r="F53" i="6"/>
  <c r="G52" i="6"/>
  <c r="H51" i="6"/>
  <c r="I50" i="6"/>
  <c r="A50" i="6"/>
  <c r="B49" i="6"/>
  <c r="C48" i="6"/>
  <c r="D47" i="6"/>
  <c r="E46" i="6"/>
  <c r="F45" i="6"/>
  <c r="G44" i="6"/>
  <c r="H43" i="6"/>
  <c r="I42" i="6"/>
  <c r="A42" i="6"/>
  <c r="B41" i="6"/>
  <c r="C40" i="6"/>
  <c r="D39" i="6"/>
  <c r="E38" i="6"/>
  <c r="F37" i="6"/>
  <c r="G36" i="6"/>
  <c r="H35" i="6"/>
  <c r="I34" i="6"/>
  <c r="A34" i="6"/>
  <c r="B33" i="6"/>
  <c r="C32" i="6"/>
  <c r="D31" i="6"/>
  <c r="E30" i="6"/>
  <c r="F29" i="6"/>
  <c r="G28" i="6"/>
  <c r="H27" i="6"/>
  <c r="I26" i="6"/>
  <c r="A26" i="6"/>
  <c r="B25" i="6"/>
  <c r="C24" i="6"/>
  <c r="D23" i="6"/>
  <c r="E22" i="6"/>
  <c r="F21" i="6"/>
  <c r="G20" i="6"/>
  <c r="H19" i="6"/>
  <c r="I18" i="6"/>
  <c r="A18" i="6"/>
  <c r="B17" i="6"/>
  <c r="C16" i="6"/>
  <c r="D15" i="6"/>
  <c r="E14" i="6"/>
  <c r="F13" i="6"/>
  <c r="G12" i="6"/>
  <c r="H11" i="6"/>
  <c r="I10" i="6"/>
  <c r="A10" i="6"/>
  <c r="B9" i="6"/>
  <c r="C8" i="6"/>
  <c r="D7" i="6"/>
  <c r="E6" i="6"/>
  <c r="F5" i="6"/>
  <c r="B64" i="6"/>
  <c r="C63" i="6"/>
  <c r="D62" i="6"/>
  <c r="E61" i="6"/>
  <c r="F60" i="6"/>
  <c r="G59" i="6"/>
  <c r="H58" i="6"/>
  <c r="I57" i="6"/>
  <c r="A57" i="6"/>
  <c r="B56" i="6"/>
  <c r="C55" i="6"/>
  <c r="D54" i="6"/>
  <c r="E53" i="6"/>
  <c r="F52" i="6"/>
  <c r="G51" i="6"/>
  <c r="H50" i="6"/>
  <c r="I49" i="6"/>
  <c r="A49" i="6"/>
  <c r="B48" i="6"/>
  <c r="C47" i="6"/>
  <c r="D46" i="6"/>
  <c r="E45" i="6"/>
  <c r="F44" i="6"/>
  <c r="G43" i="6"/>
  <c r="H42" i="6"/>
  <c r="I41" i="6"/>
  <c r="A41" i="6"/>
  <c r="B40" i="6"/>
  <c r="C39" i="6"/>
  <c r="D38" i="6"/>
  <c r="E37" i="6"/>
  <c r="F36" i="6"/>
  <c r="G35" i="6"/>
  <c r="H34" i="6"/>
  <c r="I33" i="6"/>
  <c r="A33" i="6"/>
  <c r="B32" i="6"/>
  <c r="C31" i="6"/>
  <c r="D30" i="6"/>
  <c r="E29" i="6"/>
  <c r="F28" i="6"/>
  <c r="G27" i="6"/>
  <c r="H26" i="6"/>
  <c r="I25" i="6"/>
  <c r="A25" i="6"/>
  <c r="B24" i="6"/>
  <c r="C23" i="6"/>
  <c r="D22" i="6"/>
  <c r="E21" i="6"/>
  <c r="F20" i="6"/>
  <c r="G19" i="6"/>
  <c r="H18" i="6"/>
  <c r="I17" i="6"/>
  <c r="A17" i="6"/>
  <c r="B16" i="6"/>
  <c r="C15" i="6"/>
  <c r="D14" i="6"/>
  <c r="E13" i="6"/>
  <c r="F12" i="6"/>
  <c r="G11" i="6"/>
  <c r="H10" i="6"/>
  <c r="I9" i="6"/>
  <c r="A9" i="6"/>
  <c r="B8" i="6"/>
  <c r="C7" i="6"/>
  <c r="D6" i="6"/>
  <c r="E5" i="6"/>
  <c r="I64" i="6"/>
  <c r="A64" i="6"/>
  <c r="B63" i="6"/>
  <c r="C62" i="6"/>
  <c r="D61" i="6"/>
  <c r="E60" i="6"/>
  <c r="F59" i="6"/>
  <c r="G58" i="6"/>
  <c r="H57" i="6"/>
  <c r="I56" i="6"/>
  <c r="A56" i="6"/>
  <c r="B55" i="6"/>
  <c r="C54" i="6"/>
  <c r="D53" i="6"/>
  <c r="E52" i="6"/>
  <c r="F51" i="6"/>
  <c r="G50" i="6"/>
  <c r="H49" i="6"/>
  <c r="I48" i="6"/>
  <c r="A48" i="6"/>
  <c r="B47" i="6"/>
  <c r="C46" i="6"/>
  <c r="D45" i="6"/>
  <c r="E44" i="6"/>
  <c r="F43" i="6"/>
  <c r="G42" i="6"/>
  <c r="H41" i="6"/>
  <c r="I40" i="6"/>
  <c r="A40" i="6"/>
  <c r="B39" i="6"/>
  <c r="C38" i="6"/>
  <c r="D37" i="6"/>
  <c r="E36" i="6"/>
  <c r="F35" i="6"/>
  <c r="G34" i="6"/>
  <c r="H33" i="6"/>
  <c r="I32" i="6"/>
  <c r="A32" i="6"/>
  <c r="B31" i="6"/>
  <c r="C30" i="6"/>
  <c r="D29" i="6"/>
  <c r="E28" i="6"/>
  <c r="F27" i="6"/>
  <c r="G26" i="6"/>
  <c r="H25" i="6"/>
  <c r="I24" i="6"/>
  <c r="A24" i="6"/>
  <c r="B23" i="6"/>
  <c r="C22" i="6"/>
  <c r="D21" i="6"/>
  <c r="E20" i="6"/>
  <c r="F19" i="6"/>
  <c r="G18" i="6"/>
  <c r="H17" i="6"/>
  <c r="I16" i="6"/>
  <c r="A16" i="6"/>
  <c r="B15" i="6"/>
  <c r="C14" i="6"/>
  <c r="D13" i="6"/>
  <c r="E12" i="6"/>
  <c r="F11" i="6"/>
  <c r="G10" i="6"/>
  <c r="H9" i="6"/>
  <c r="I8" i="6"/>
  <c r="A8" i="6"/>
  <c r="B7" i="6"/>
  <c r="C6" i="6"/>
  <c r="D5" i="6"/>
  <c r="H64" i="6"/>
  <c r="I63" i="6"/>
  <c r="A63" i="6"/>
  <c r="B62" i="6"/>
  <c r="C61" i="6"/>
  <c r="D60" i="6"/>
  <c r="E59" i="6"/>
  <c r="F58" i="6"/>
  <c r="G57" i="6"/>
  <c r="H56" i="6"/>
  <c r="I55" i="6"/>
  <c r="A55" i="6"/>
  <c r="B54" i="6"/>
  <c r="C53" i="6"/>
  <c r="D52" i="6"/>
  <c r="E51" i="6"/>
  <c r="F50" i="6"/>
  <c r="G49" i="6"/>
  <c r="H48" i="6"/>
  <c r="I47" i="6"/>
  <c r="A47" i="6"/>
  <c r="B46" i="6"/>
  <c r="C45" i="6"/>
  <c r="D44" i="6"/>
  <c r="E43" i="6"/>
  <c r="F42" i="6"/>
  <c r="G41" i="6"/>
  <c r="H40" i="6"/>
  <c r="I39" i="6"/>
  <c r="A39" i="6"/>
  <c r="B38" i="6"/>
  <c r="C37" i="6"/>
  <c r="D36" i="6"/>
  <c r="E35" i="6"/>
  <c r="F34" i="6"/>
  <c r="G33" i="6"/>
  <c r="H32" i="6"/>
  <c r="I31" i="6"/>
  <c r="A31" i="6"/>
  <c r="B30" i="6"/>
  <c r="C29" i="6"/>
  <c r="D28" i="6"/>
  <c r="E27" i="6"/>
  <c r="F26" i="6"/>
  <c r="G25" i="6"/>
  <c r="H24" i="6"/>
  <c r="I23" i="6"/>
  <c r="A23" i="6"/>
  <c r="B22" i="6"/>
  <c r="C21" i="6"/>
  <c r="D20" i="6"/>
  <c r="E19" i="6"/>
  <c r="F18" i="6"/>
  <c r="G17" i="6"/>
  <c r="H16" i="6"/>
  <c r="I15" i="6"/>
  <c r="A15" i="6"/>
  <c r="B14" i="6"/>
  <c r="C13" i="6"/>
  <c r="D12" i="6"/>
  <c r="E11" i="6"/>
  <c r="F10" i="6"/>
  <c r="G9" i="6"/>
  <c r="H8" i="6"/>
  <c r="I7" i="6"/>
  <c r="A7" i="6"/>
  <c r="B6" i="6"/>
  <c r="C5" i="6"/>
  <c r="G64" i="6"/>
  <c r="H63" i="6"/>
  <c r="I62" i="6"/>
  <c r="A62" i="6"/>
  <c r="B61" i="6"/>
  <c r="C60" i="6"/>
  <c r="D59" i="6"/>
  <c r="E58" i="6"/>
  <c r="F57" i="6"/>
  <c r="G56" i="6"/>
  <c r="H55" i="6"/>
  <c r="I54" i="6"/>
  <c r="A54" i="6"/>
  <c r="B53" i="6"/>
  <c r="C52" i="6"/>
  <c r="D51" i="6"/>
  <c r="E50" i="6"/>
  <c r="F49" i="6"/>
  <c r="G48" i="6"/>
  <c r="H47" i="6"/>
  <c r="I46" i="6"/>
  <c r="A46" i="6"/>
  <c r="B45" i="6"/>
  <c r="C44" i="6"/>
  <c r="D43" i="6"/>
  <c r="E42" i="6"/>
  <c r="F41" i="6"/>
  <c r="G40" i="6"/>
  <c r="H39" i="6"/>
  <c r="I38" i="6"/>
  <c r="A38" i="6"/>
  <c r="B37" i="6"/>
  <c r="C36" i="6"/>
  <c r="D35" i="6"/>
  <c r="E34" i="6"/>
  <c r="F33" i="6"/>
  <c r="G32" i="6"/>
  <c r="H31" i="6"/>
  <c r="I30" i="6"/>
  <c r="A30" i="6"/>
  <c r="B29" i="6"/>
  <c r="C28" i="6"/>
  <c r="D27" i="6"/>
  <c r="E26" i="6"/>
  <c r="F25" i="6"/>
  <c r="G24" i="6"/>
  <c r="H23" i="6"/>
  <c r="I22" i="6"/>
  <c r="A22" i="6"/>
  <c r="B21" i="6"/>
  <c r="C20" i="6"/>
  <c r="D19" i="6"/>
  <c r="E18" i="6"/>
  <c r="F17" i="6"/>
  <c r="G16" i="6"/>
  <c r="H15" i="6"/>
  <c r="I14" i="6"/>
  <c r="A14" i="6"/>
  <c r="B13" i="6"/>
  <c r="C12" i="6"/>
  <c r="D11" i="6"/>
  <c r="E10" i="6"/>
  <c r="F9" i="6"/>
  <c r="G8" i="6"/>
  <c r="H7" i="6"/>
  <c r="I6" i="6"/>
  <c r="A6" i="6"/>
  <c r="B5" i="6"/>
  <c r="D11" i="4"/>
  <c r="E20" i="1"/>
  <c r="E21" i="1"/>
  <c r="C24" i="1"/>
  <c r="C10" i="1"/>
  <c r="E24" i="1"/>
  <c r="D25" i="1"/>
  <c r="D19" i="4"/>
  <c r="D24" i="1"/>
  <c r="F13" i="1"/>
  <c r="E9" i="1"/>
  <c r="E15" i="1" s="1"/>
  <c r="E31" i="1" s="1"/>
  <c r="E33" i="1" s="1"/>
  <c r="D10" i="1"/>
  <c r="C11" i="1"/>
  <c r="E25" i="1"/>
  <c r="E10" i="1"/>
  <c r="D11" i="1"/>
  <c r="C12" i="1"/>
  <c r="C20" i="1"/>
  <c r="D31" i="4"/>
  <c r="H56" i="2"/>
  <c r="D3" i="4" s="1"/>
  <c r="H64" i="2"/>
  <c r="D33" i="4" s="1"/>
  <c r="H72" i="2"/>
  <c r="D27" i="4" s="1"/>
  <c r="H80" i="2"/>
  <c r="D5" i="4" s="1"/>
  <c r="H88" i="2"/>
  <c r="D29" i="4" s="1"/>
  <c r="D68" i="5"/>
  <c r="H97" i="2"/>
  <c r="D26" i="4" s="1"/>
  <c r="H52" i="2"/>
  <c r="C41" i="1" s="1"/>
  <c r="H60" i="2"/>
  <c r="D13" i="4" s="1"/>
  <c r="H68" i="2"/>
  <c r="D18" i="4" s="1"/>
  <c r="H76" i="2"/>
  <c r="D4" i="4" s="1"/>
  <c r="F24" i="1" l="1"/>
  <c r="F21" i="1"/>
  <c r="F23" i="1"/>
  <c r="D26" i="1"/>
  <c r="F11" i="1"/>
  <c r="F10" i="1"/>
  <c r="C9" i="1"/>
  <c r="H66" i="6"/>
  <c r="E26" i="1"/>
  <c r="C26" i="1"/>
  <c r="F12" i="1"/>
  <c r="F20" i="1"/>
  <c r="F26" i="1" s="1"/>
  <c r="C39" i="1" s="1"/>
  <c r="D9" i="1"/>
  <c r="D15" i="1" s="1"/>
  <c r="D31" i="1" s="1"/>
  <c r="D33" i="1" s="1"/>
  <c r="C15" i="1" l="1"/>
  <c r="C31" i="1" s="1"/>
  <c r="C33" i="1" s="1"/>
  <c r="F9" i="1"/>
  <c r="F15" i="1" s="1"/>
  <c r="F31" i="1" l="1"/>
  <c r="F33" i="1" s="1"/>
  <c r="C38" i="1"/>
  <c r="D34" i="1" l="1"/>
  <c r="C34" i="1"/>
  <c r="E34" i="1"/>
  <c r="F34" i="1"/>
</calcChain>
</file>

<file path=xl/sharedStrings.xml><?xml version="1.0" encoding="utf-8"?>
<sst xmlns="http://schemas.openxmlformats.org/spreadsheetml/2006/main" count="1063" uniqueCount="197">
  <si>
    <t>Helferstunden-Auswertung</t>
  </si>
  <si>
    <t>Schlossturmschiessen 2026  ·  Auswertung der Einsatzliste nach Verein</t>
  </si>
  <si>
    <t>Datengrundlage: Einsatzliste Schlossturmschiessen 2026 (PDF vom 10.04.2026)</t>
  </si>
  <si>
    <t>OK-Einsätze mitzählen:</t>
  </si>
  <si>
    <t>NEIN</t>
  </si>
  <si>
    <t>JA / NEIN  –  «NEIN» entspricht der Zählweise im Original-Einsatzplan (OK-Mitglieder separat).</t>
  </si>
  <si>
    <t>Helferstunden pro Verein</t>
  </si>
  <si>
    <t>Einsatz</t>
  </si>
  <si>
    <t>Datum</t>
  </si>
  <si>
    <t>Total</t>
  </si>
  <si>
    <t>Anzahl Einsätze (Helfer-Positionen) pro Verein</t>
  </si>
  <si>
    <t>Gesamtabrechnung pro Verein</t>
  </si>
  <si>
    <t>Position</t>
  </si>
  <si>
    <t>Einsätze gemäss Einsatzliste</t>
  </si>
  <si>
    <t>Diverse Vor- &amp; Nacharbeiten</t>
  </si>
  <si>
    <t>Total Helferstunden</t>
  </si>
  <si>
    <t>Anteil in %</t>
  </si>
  <si>
    <t>Kennzahlen</t>
  </si>
  <si>
    <t>Helferstunden total (alle Vereine)</t>
  </si>
  <si>
    <t>Einsätze total (Helfer-Positionen)</t>
  </si>
  <si>
    <t>Davon mit Status "OK" (Organisationskomitee)</t>
  </si>
  <si>
    <t>Stunden der OK-Einsätze</t>
  </si>
  <si>
    <t>Noch offene Positionen (ohne Status)</t>
  </si>
  <si>
    <t>Stunden Vor- &amp; Nacharbeiten</t>
  </si>
  <si>
    <t>Zeilen mit Kommentar / Korrektur</t>
  </si>
  <si>
    <t>So ergänzt du manuell</t>
  </si>
  <si>
    <t>Gelb hinterlegte Zellen sind Eingabefelder – alles andere rechnet sich automatisch.</t>
  </si>
  <si>
    <t>Neue Helfer erfassen: Blatt «Zuteilungen», erste freie Zeile ausfüllen. Beispiel:</t>
  </si>
  <si>
    <t xml:space="preserve">     Einsatz-ID = E2   |   Funktion = Warner   |   Name = Muster Hans   |   Verein = MSV Wilen   |   Status = x</t>
  </si>
  <si>
    <t xml:space="preserve">     Spalten «Datum» und «Stunden» füllen sich selbst – dort nichts eintragen.</t>
  </si>
  <si>
    <t>Kommentieren: Spalte «Bemerkung / Kommentar» (I) im Blatt «Zuteilungen» – bei jeder Zeile möglich. Alle kommentierten Zeilen erscheinen automatisch im Blatt «Korrekturen».</t>
  </si>
  <si>
    <t>Abweichende Einsatzdauer für eine Person: Spalte «Stunden manuell» (G) setzen, z. B. 2.50. Sie überschreibt die Standarddauer.</t>
  </si>
  <si>
    <t>Einsatzdauer generell ändern: Blatt «Stammdaten», Spalten «Dauer» und «Zuschlag Treffpunkt».</t>
  </si>
  <si>
    <t>Zusätzlicher Einsatztag oder zusätzlicher Verein: Blatt «Stammdaten», freie Zeile in der jeweiligen Tabelle ausfüllen.</t>
  </si>
  <si>
    <t>Nachtrag: E5 = vergessener Einsatz Blättler Renata vom 26.04.2025 (grün markiert im Blatt «Zuteilungen»).</t>
  </si>
  <si>
    <t>Status «x» = regulärer Helfer, «OK» = Mitglied Organisationskomitee. Mit dem Schalter oben steuerst du, ob OK-Einsätze den Vereinen angerechnet werden.</t>
  </si>
  <si>
    <t>Einsatz-ID</t>
  </si>
  <si>
    <t>Funktion</t>
  </si>
  <si>
    <t>Name / Vorname</t>
  </si>
  <si>
    <t>Verein</t>
  </si>
  <si>
    <t>Status</t>
  </si>
  <si>
    <t>Stunden manuell</t>
  </si>
  <si>
    <t>Stunden</t>
  </si>
  <si>
    <t>Bemerkung / Kommentar</t>
  </si>
  <si>
    <t>Korr-Nr</t>
  </si>
  <si>
    <t>E1</t>
  </si>
  <si>
    <t>Parkdienst</t>
  </si>
  <si>
    <t>Schuler René</t>
  </si>
  <si>
    <t>SV Wollerau</t>
  </si>
  <si>
    <t>x</t>
  </si>
  <si>
    <t>E2</t>
  </si>
  <si>
    <t>E3</t>
  </si>
  <si>
    <t>E4</t>
  </si>
  <si>
    <t>Schuler Karl</t>
  </si>
  <si>
    <t>SV F'bach-Pf'kon</t>
  </si>
  <si>
    <t>Ott Arthur</t>
  </si>
  <si>
    <t>Bernd Daniel</t>
  </si>
  <si>
    <t>Türkontrolle</t>
  </si>
  <si>
    <t>Dubach Urs</t>
  </si>
  <si>
    <t>Standblätter</t>
  </si>
  <si>
    <t>Fuchs Marcel</t>
  </si>
  <si>
    <t>Bürgi Adrian</t>
  </si>
  <si>
    <t>Fuchs Michael</t>
  </si>
  <si>
    <t>MSV Wilen</t>
  </si>
  <si>
    <t>Kasse</t>
  </si>
  <si>
    <t>Schober Hanspeter</t>
  </si>
  <si>
    <t>Lanelli Philipp</t>
  </si>
  <si>
    <t>OK</t>
  </si>
  <si>
    <t>Munition</t>
  </si>
  <si>
    <t>Kobel Stefan</t>
  </si>
  <si>
    <t>Sturzenegger Robert</t>
  </si>
  <si>
    <t>Auszahlung</t>
  </si>
  <si>
    <t>Odermatt Marcel</t>
  </si>
  <si>
    <t>Steinegger Josef</t>
  </si>
  <si>
    <t>Schuler Werner</t>
  </si>
  <si>
    <t>Auszeichnungen</t>
  </si>
  <si>
    <t>Pargätzi Bruna</t>
  </si>
  <si>
    <t>Fuchs Armin</t>
  </si>
  <si>
    <t>Reuteler Pascal</t>
  </si>
  <si>
    <t>EDV / Anlage</t>
  </si>
  <si>
    <t>Linggi Renato</t>
  </si>
  <si>
    <t>Schiessleitung</t>
  </si>
  <si>
    <t>Linggi Andreas</t>
  </si>
  <si>
    <t>Schützenmeister</t>
  </si>
  <si>
    <t>Schmucki Marco</t>
  </si>
  <si>
    <t>Thomi Ivo</t>
  </si>
  <si>
    <t>Flühler Beat</t>
  </si>
  <si>
    <t>von Euw Stefan</t>
  </si>
  <si>
    <t>Lienert Roman</t>
  </si>
  <si>
    <t>von Euw Alexander</t>
  </si>
  <si>
    <t>Kälin Norbert</t>
  </si>
  <si>
    <t>Kurier</t>
  </si>
  <si>
    <t>Unterkofler Mark</t>
  </si>
  <si>
    <t>Lienert Elin</t>
  </si>
  <si>
    <t>Znüni / Zvieri</t>
  </si>
  <si>
    <t>Flühler Georges</t>
  </si>
  <si>
    <t>Wyler Hanspeter</t>
  </si>
  <si>
    <t>Strickler Julius</t>
  </si>
  <si>
    <t>Warner</t>
  </si>
  <si>
    <t>Blättler Renata</t>
  </si>
  <si>
    <t>Kälin Joshua</t>
  </si>
  <si>
    <t>Zimmermann Jack</t>
  </si>
  <si>
    <t>König Marcus</t>
  </si>
  <si>
    <t>Weinen Ingo</t>
  </si>
  <si>
    <t>Schuler Walter</t>
  </si>
  <si>
    <t>Graden Rolf</t>
  </si>
  <si>
    <t>Gerber Guido</t>
  </si>
  <si>
    <t>Jehli Christian</t>
  </si>
  <si>
    <t>Steiner Alfred</t>
  </si>
  <si>
    <t>Betschart Sabrina</t>
  </si>
  <si>
    <t>von Euw Judith</t>
  </si>
  <si>
    <t>Bürgi Roland</t>
  </si>
  <si>
    <t>E5</t>
  </si>
  <si>
    <t>Nachtrag: Einsatz Samstag, 26.04.2025 vormittags – in der Liste 2026 nicht erfasst (in der Abrechnung 2025 ohne Stundenwert)</t>
  </si>
  <si>
    <t>Stammdaten</t>
  </si>
  <si>
    <t>Gelbe Zellen sind Eingabefelder. Änderungen wirken sich sofort auf alle Auswertungen aus.</t>
  </si>
  <si>
    <t>Zeit</t>
  </si>
  <si>
    <t>Treffpunkt</t>
  </si>
  <si>
    <t>Dauer (h)</t>
  </si>
  <si>
    <t>Zuschlag Treffpunkt (h)</t>
  </si>
  <si>
    <t>Stunden pro Einsatz</t>
  </si>
  <si>
    <t>Bemerkung</t>
  </si>
  <si>
    <t>08.00 – 12.00 Uhr</t>
  </si>
  <si>
    <t>07.30 Uhr (Büro 07.15)</t>
  </si>
  <si>
    <t>1. Samstag, Vormittag · Pauschale 5.00 gemäss Abrechnung 2025</t>
  </si>
  <si>
    <t>13.30 – 17.00 Uhr</t>
  </si>
  <si>
    <t>13.15 Uhr (Büro 13.00)</t>
  </si>
  <si>
    <t>1. Samstag, Nachmittag · Pauschale 5.00 gemäss Abrechnung 2025</t>
  </si>
  <si>
    <t>09.30 – 11.30 Uhr</t>
  </si>
  <si>
    <t>09.00 Uhr (Büro 08.45)</t>
  </si>
  <si>
    <t>Sonntag · Pauschale 3.00 gemäss Abrechnung 2025</t>
  </si>
  <si>
    <t>2. Samstag · Pauschale 5.00 gemäss Abrechnung 2025</t>
  </si>
  <si>
    <t>vormittags</t>
  </si>
  <si>
    <t>NACHTRAG aus 2025 – Samstagvormittag, Pauschale 5.00 gemäss Abrechnung 2025</t>
  </si>
  <si>
    <t>freie Zeile für einen zusätzlichen Einsatz</t>
  </si>
  <si>
    <t>Hinweis: «Dauer» = Pauschale pro Helfereinsatz (5.00 Samstag / 3.00 Sonntag, wie in der Abrechnung 2025). Über «Zuschlag Treffpunkt» lässt sich bei Bedarf zusätzlich aufrechnen.</t>
  </si>
  <si>
    <t>Vereine</t>
  </si>
  <si>
    <t>freie Zeile für einen zusätzlichen Verein</t>
  </si>
  <si>
    <t>Anzahl Einsätze</t>
  </si>
  <si>
    <t>Helferstunden</t>
  </si>
  <si>
    <t>Arbeiten ausserhalb der Einsatzliste. Alle gelben Felder sind Eingabefelder; die Stunden fliessen automatisch in die Gesamtabrechnung im Blatt «Uebersicht».</t>
  </si>
  <si>
    <t>Tätigkeit</t>
  </si>
  <si>
    <t>Bemerkung / Vorjahr 2025</t>
  </si>
  <si>
    <t>Festführer zusammenstellen</t>
  </si>
  <si>
    <t>2025: Schuler Werner</t>
  </si>
  <si>
    <t>Festführer Layout / PDF druckfertig</t>
  </si>
  <si>
    <t>2025: Pargätzi Bruna</t>
  </si>
  <si>
    <t>2025: Bürgi Adrian</t>
  </si>
  <si>
    <t>Munition bereitstellen</t>
  </si>
  <si>
    <t>2025: Steinegger Josef</t>
  </si>
  <si>
    <t>Büro einrichten / EDV / Definition Fest</t>
  </si>
  <si>
    <t>2025: Linggi Renato</t>
  </si>
  <si>
    <t>2025: Cavelti Roger</t>
  </si>
  <si>
    <t>Verpflegung</t>
  </si>
  <si>
    <t>2025: Flühler Georges</t>
  </si>
  <si>
    <t>2025: Wyler Hanspeter</t>
  </si>
  <si>
    <t>Vorschiessen (2x Mittwochabend)</t>
  </si>
  <si>
    <t>2025: Schuler Werner (Büro)</t>
  </si>
  <si>
    <t>2025: Linggi Res (SM)</t>
  </si>
  <si>
    <t>Aufräumen Reklamen</t>
  </si>
  <si>
    <t>Aufräumen Büro / EDV / Munition</t>
  </si>
  <si>
    <t>OK – Präsident</t>
  </si>
  <si>
    <t>OK – Werbung / Sponsoring</t>
  </si>
  <si>
    <t>OK – Kasse</t>
  </si>
  <si>
    <t>2025: Lanelli Philipp</t>
  </si>
  <si>
    <t>OK – Schützenmeister</t>
  </si>
  <si>
    <t>2025: Linggi Res</t>
  </si>
  <si>
    <t>OK – Anmeldung / Internet</t>
  </si>
  <si>
    <t>Total pro Verein</t>
  </si>
  <si>
    <t>Stunden «x»</t>
  </si>
  <si>
    <t>Stunden «OK»</t>
  </si>
  <si>
    <t>Hinweis: Die Tätigkeiten stammen aus der Abrechnung 2025 und sind als Vorlage eingetragen – Zeilen frei änder-, lösch- und ergänzbar.</t>
  </si>
  <si>
    <t>Status «x» zählt dem Verein an, «OK» nur wenn der Schalter in der Übersicht auf JA steht. In der Abrechnung 2025 wurden OK-Stunden separat ausgewiesen.</t>
  </si>
  <si>
    <t>Korrekturen &amp; Kommentare</t>
  </si>
  <si>
    <t>Listet automatisch jede Zeile aus dem Blatt «Zuteilungen», in der ein Kommentar erfasst ist – manuelle Nachträge, Korrekturen und Anmerkungen. Kommentiert wird immer im Blatt «Zuteilungen», Spalte I.</t>
  </si>
  <si>
    <t>Nr.</t>
  </si>
  <si>
    <t>Kommentar</t>
  </si>
  <si>
    <t>Summe Stunden der kommentierten Zeilen</t>
  </si>
  <si>
    <t>Die Liste füllt sich selbst – hier bitte nichts eintippen. Reicht der Platz nicht, sag Bescheid, dann verlängere ich sie.</t>
  </si>
  <si>
    <t>Original-Einsatzliste (Abbild des PDF)</t>
  </si>
  <si>
    <t>1:1-Abbild der Einsatzliste Schlossturmschiessen 2026 zur manuellen Kontrolle. Dieses Blatt enthält keine Auswertungslogik – ausgewertet wird das Blatt «Zuteilungen».</t>
  </si>
  <si>
    <t>Samstag, 18.04.2026</t>
  </si>
  <si>
    <t>Sonntag, 19.04.2026</t>
  </si>
  <si>
    <t>Samstag, 25.04.2026</t>
  </si>
  <si>
    <t>F'bach-Pf'kon</t>
  </si>
  <si>
    <t>Wilen</t>
  </si>
  <si>
    <t>Wollerau</t>
  </si>
  <si>
    <t>?</t>
  </si>
  <si>
    <t>Total «x» in diesem Blatt</t>
  </si>
  <si>
    <t>Total gemäss PDF (Kontrollzeile)</t>
  </si>
  <si>
    <t>Differenz (muss 0 sein)</t>
  </si>
  <si>
    <t>Abgleich mit Blatt «Zuteilungen»</t>
  </si>
  <si>
    <t>Legende: «x» = regulärer Helfer · «OK» = Mitglied Organisationskomitee · rotes «?» = im PDF ohne Markierung.</t>
  </si>
  <si>
    <t>Die Zeile «Abgleich» zählt dieselben Einsätze im Blatt «Zuteilungen» – sie muss mit der Zeile «Total «x» in diesem Blatt» übereinstimmen.</t>
  </si>
  <si>
    <t>Cavelti Roger</t>
  </si>
  <si>
    <t>Schuler Werner (Büro)</t>
  </si>
  <si>
    <t>Linggi Res (SM)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</si>
</sst>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.mm\.yyyy"/>
    <numFmt numFmtId="165" formatCode="0.00;\-0.00;\–"/>
    <numFmt numFmtId="166" formatCode="0;\-0;\–"/>
    <numFmt numFmtId="167" formatCode="0.0%"/>
    <numFmt numFmtId="168" formatCode="0;;\–"/>
    <numFmt numFmtId="169" formatCode="0.00;;\–"/>
    <numFmt numFmtId="170" formatCode="0.00;;&quot;&quot;"/>
  </numFmts>
  <fonts count="20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sz val="11"/>
      <color rgb="FF808080"/>
      <name val="Arial"/>
      <charset val="1"/>
    </font>
    <font>
      <i/>
      <sz val="9"/>
      <color rgb="FF808080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2"/>
      <color rgb="FF1F3864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9"/>
      <color rgb="FF404040"/>
      <name val="Arial"/>
      <charset val="1"/>
    </font>
    <font>
      <sz val="9"/>
      <color rgb="FF808080"/>
      <name val="Arial"/>
      <charset val="1"/>
    </font>
    <font>
      <sz val="10"/>
      <color rgb="FF0000FF"/>
      <name val="Arial"/>
      <charset val="1"/>
    </font>
    <font>
      <i/>
      <sz val="9"/>
      <color rgb="FF1F6B3B"/>
      <name val="Arial"/>
      <charset val="1"/>
    </font>
    <font>
      <b/>
      <sz val="16"/>
      <color rgb="FF1F3864"/>
      <name val="Arial"/>
      <charset val="1"/>
    </font>
    <font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C0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1F3864"/>
        <bgColor rgb="FF333399"/>
      </patternFill>
    </fill>
    <fill>
      <patternFill patternType="solid">
        <fgColor rgb="FFEDF1F9"/>
        <bgColor rgb="FFE2F0D9"/>
      </patternFill>
    </fill>
    <fill>
      <patternFill patternType="solid">
        <fgColor rgb="FF2E5C9A"/>
        <bgColor rgb="FF333399"/>
      </patternFill>
    </fill>
    <fill>
      <patternFill patternType="solid">
        <fgColor rgb="FFD9E2F3"/>
        <bgColor rgb="FFE2F0D9"/>
      </patternFill>
    </fill>
    <fill>
      <patternFill patternType="solid">
        <fgColor rgb="FFE2F0D9"/>
        <bgColor rgb="FFEDF1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4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8" fillId="0" borderId="1" xfId="0" applyFont="1" applyBorder="1"/>
    <xf numFmtId="164" fontId="8" fillId="0" borderId="1" xfId="0" applyNumberFormat="1" applyFont="1" applyBorder="1"/>
    <xf numFmtId="165" fontId="8" fillId="0" borderId="1" xfId="0" applyNumberFormat="1" applyFont="1" applyBorder="1" applyAlignment="1">
      <alignment horizontal="right"/>
    </xf>
    <xf numFmtId="0" fontId="8" fillId="4" borderId="1" xfId="0" applyFont="1" applyFill="1" applyBorder="1"/>
    <xf numFmtId="164" fontId="8" fillId="4" borderId="1" xfId="0" applyNumberFormat="1" applyFont="1" applyFill="1" applyBorder="1"/>
    <xf numFmtId="165" fontId="8" fillId="4" borderId="1" xfId="0" applyNumberFormat="1" applyFont="1" applyFill="1" applyBorder="1" applyAlignment="1">
      <alignment horizontal="right"/>
    </xf>
    <xf numFmtId="0" fontId="7" fillId="5" borderId="1" xfId="0" applyFont="1" applyFill="1" applyBorder="1"/>
    <xf numFmtId="165" fontId="7" fillId="5" borderId="1" xfId="0" applyNumberFormat="1" applyFont="1" applyFill="1" applyBorder="1" applyAlignment="1">
      <alignment horizontal="right"/>
    </xf>
    <xf numFmtId="166" fontId="8" fillId="4" borderId="1" xfId="0" applyNumberFormat="1" applyFont="1" applyFill="1" applyBorder="1" applyAlignment="1">
      <alignment horizontal="right"/>
    </xf>
    <xf numFmtId="166" fontId="8" fillId="0" borderId="1" xfId="0" applyNumberFormat="1" applyFont="1" applyBorder="1" applyAlignment="1">
      <alignment horizontal="right"/>
    </xf>
    <xf numFmtId="166" fontId="7" fillId="5" borderId="1" xfId="0" applyNumberFormat="1" applyFont="1" applyFill="1" applyBorder="1" applyAlignment="1">
      <alignment horizontal="right"/>
    </xf>
    <xf numFmtId="0" fontId="7" fillId="3" borderId="2" xfId="0" applyFont="1" applyFill="1" applyBorder="1" applyAlignment="1">
      <alignment horizontal="left" vertical="center"/>
    </xf>
    <xf numFmtId="0" fontId="4" fillId="6" borderId="1" xfId="0" applyFont="1" applyFill="1" applyBorder="1"/>
    <xf numFmtId="167" fontId="4" fillId="6" borderId="1" xfId="0" applyNumberFormat="1" applyFont="1" applyFill="1" applyBorder="1" applyAlignment="1">
      <alignment horizontal="right"/>
    </xf>
    <xf numFmtId="2" fontId="4" fillId="6" borderId="1" xfId="0" applyNumberFormat="1" applyFont="1" applyFill="1" applyBorder="1" applyAlignment="1">
      <alignment horizontal="right"/>
    </xf>
    <xf numFmtId="1" fontId="4" fillId="6" borderId="1" xfId="0" applyNumberFormat="1" applyFont="1" applyFill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8" fillId="4" borderId="1" xfId="0" applyFont="1" applyFill="1" applyBorder="1" applyAlignment="1">
      <alignment horizontal="center"/>
    </xf>
    <xf numFmtId="2" fontId="11" fillId="4" borderId="1" xfId="0" applyNumberFormat="1" applyFont="1" applyFill="1" applyBorder="1"/>
    <xf numFmtId="2" fontId="8" fillId="4" borderId="1" xfId="0" applyNumberFormat="1" applyFont="1" applyFill="1" applyBorder="1"/>
    <xf numFmtId="0" fontId="8" fillId="2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/>
    </xf>
    <xf numFmtId="2" fontId="11" fillId="0" borderId="1" xfId="0" applyNumberFormat="1" applyFont="1" applyBorder="1"/>
    <xf numFmtId="2" fontId="8" fillId="0" borderId="1" xfId="0" applyNumberFormat="1" applyFont="1" applyBorder="1"/>
    <xf numFmtId="0" fontId="8" fillId="7" borderId="1" xfId="0" applyFont="1" applyFill="1" applyBorder="1" applyAlignment="1">
      <alignment horizontal="center"/>
    </xf>
    <xf numFmtId="164" fontId="8" fillId="7" borderId="1" xfId="0" applyNumberFormat="1" applyFont="1" applyFill="1" applyBorder="1"/>
    <xf numFmtId="0" fontId="8" fillId="7" borderId="1" xfId="0" applyFont="1" applyFill="1" applyBorder="1"/>
    <xf numFmtId="2" fontId="11" fillId="7" borderId="1" xfId="0" applyNumberFormat="1" applyFont="1" applyFill="1" applyBorder="1"/>
    <xf numFmtId="2" fontId="8" fillId="7" borderId="1" xfId="0" applyNumberFormat="1" applyFont="1" applyFill="1" applyBorder="1"/>
    <xf numFmtId="0" fontId="12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2" fontId="11" fillId="2" borderId="1" xfId="0" applyNumberFormat="1" applyFont="1" applyFill="1" applyBorder="1"/>
    <xf numFmtId="0" fontId="13" fillId="0" borderId="0" xfId="0" applyFont="1"/>
    <xf numFmtId="164" fontId="8" fillId="2" borderId="1" xfId="0" applyNumberFormat="1" applyFont="1" applyFill="1" applyBorder="1"/>
    <xf numFmtId="2" fontId="4" fillId="6" borderId="1" xfId="0" applyNumberFormat="1" applyFont="1" applyFill="1" applyBorder="1"/>
    <xf numFmtId="0" fontId="3" fillId="2" borderId="1" xfId="0" applyFont="1" applyFill="1" applyBorder="1"/>
    <xf numFmtId="0" fontId="7" fillId="3" borderId="2" xfId="0" applyFont="1" applyFill="1" applyBorder="1" applyAlignment="1">
      <alignment horizontal="center"/>
    </xf>
    <xf numFmtId="0" fontId="3" fillId="0" borderId="1" xfId="0" applyFont="1" applyBorder="1"/>
    <xf numFmtId="168" fontId="8" fillId="4" borderId="1" xfId="0" applyNumberFormat="1" applyFont="1" applyFill="1" applyBorder="1" applyAlignment="1">
      <alignment horizontal="right"/>
    </xf>
    <xf numFmtId="169" fontId="8" fillId="4" borderId="1" xfId="0" applyNumberFormat="1" applyFont="1" applyFill="1" applyBorder="1" applyAlignment="1">
      <alignment horizontal="right"/>
    </xf>
    <xf numFmtId="168" fontId="8" fillId="0" borderId="1" xfId="0" applyNumberFormat="1" applyFont="1" applyBorder="1" applyAlignment="1">
      <alignment horizontal="right"/>
    </xf>
    <xf numFmtId="169" fontId="8" fillId="0" borderId="1" xfId="0" applyNumberFormat="1" applyFont="1" applyBorder="1" applyAlignment="1">
      <alignment horizontal="right"/>
    </xf>
    <xf numFmtId="2" fontId="11" fillId="2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right"/>
    </xf>
    <xf numFmtId="0" fontId="8" fillId="6" borderId="1" xfId="0" applyFont="1" applyFill="1" applyBorder="1"/>
    <xf numFmtId="2" fontId="8" fillId="6" borderId="1" xfId="0" applyNumberFormat="1" applyFont="1" applyFill="1" applyBorder="1" applyAlignment="1">
      <alignment horizontal="right"/>
    </xf>
    <xf numFmtId="170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vertical="top" wrapText="1"/>
    </xf>
    <xf numFmtId="170" fontId="8" fillId="4" borderId="1" xfId="0" applyNumberFormat="1" applyFont="1" applyFill="1" applyBorder="1" applyAlignment="1">
      <alignment horizontal="right"/>
    </xf>
    <xf numFmtId="0" fontId="8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5" fillId="5" borderId="1" xfId="0" applyFont="1" applyFill="1" applyBorder="1"/>
    <xf numFmtId="0" fontId="15" fillId="5" borderId="1" xfId="0" applyFont="1" applyFill="1" applyBorder="1" applyAlignment="1">
      <alignment horizontal="center"/>
    </xf>
    <xf numFmtId="0" fontId="18" fillId="6" borderId="1" xfId="0" applyFont="1" applyFill="1" applyBorder="1"/>
    <xf numFmtId="0" fontId="18" fillId="6" borderId="1" xfId="0" applyFont="1" applyFill="1" applyBorder="1" applyAlignment="1">
      <alignment horizontal="center"/>
    </xf>
    <xf numFmtId="0" fontId="19" fillId="4" borderId="1" xfId="0" applyFont="1" applyFill="1" applyBorder="1"/>
    <xf numFmtId="0" fontId="19" fillId="4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6B3B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F1F9"/>
      <rgbColor rgb="FF660066"/>
      <rgbColor rgb="FFFF8080"/>
      <rgbColor rgb="FF2E5C9A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7"/>
  <sheetViews>
    <sheetView showGridLines="0" tabSelected="1" topLeftCell="A14" zoomScaleNormal="100" workbookViewId="0">
      <selection activeCell="M28" sqref="M28"/>
    </sheetView>
  </sheetViews>
  <sheetFormatPr baseColWidth="10" defaultColWidth="8.7109375" defaultRowHeight="15" x14ac:dyDescent="0.25"/>
  <cols>
    <col min="1" max="1" width="30" customWidth="1"/>
    <col min="2" max="2" width="16" customWidth="1"/>
    <col min="3" max="6" width="17" customWidth="1"/>
  </cols>
  <sheetData>
    <row r="1" spans="1:6" ht="23.25" x14ac:dyDescent="0.35">
      <c r="A1" s="5" t="s">
        <v>0</v>
      </c>
    </row>
    <row r="2" spans="1:6" x14ac:dyDescent="0.25">
      <c r="A2" s="6" t="s">
        <v>1</v>
      </c>
    </row>
    <row r="3" spans="1:6" x14ac:dyDescent="0.25">
      <c r="A3" s="7" t="s">
        <v>2</v>
      </c>
    </row>
    <row r="5" spans="1:6" x14ac:dyDescent="0.25">
      <c r="A5" s="8" t="s">
        <v>3</v>
      </c>
      <c r="B5" s="9" t="s">
        <v>4</v>
      </c>
      <c r="C5" s="7" t="s">
        <v>5</v>
      </c>
    </row>
    <row r="7" spans="1:6" ht="16.5" thickBot="1" x14ac:dyDescent="0.3">
      <c r="A7" s="10" t="s">
        <v>6</v>
      </c>
    </row>
    <row r="8" spans="1:6" ht="30" customHeight="1" thickBot="1" x14ac:dyDescent="0.3">
      <c r="A8" s="11" t="s">
        <v>7</v>
      </c>
      <c r="B8" s="11" t="s">
        <v>8</v>
      </c>
      <c r="C8" s="11" t="str">
        <f>IF(Stammdaten!$A$14="","",Stammdaten!$A$14)</f>
        <v>SV F'bach-Pf'kon</v>
      </c>
      <c r="D8" s="11" t="str">
        <f>IF(Stammdaten!$A$15="","",Stammdaten!$A$15)</f>
        <v>MSV Wilen</v>
      </c>
      <c r="E8" s="11" t="str">
        <f>IF(Stammdaten!$A$16="","",Stammdaten!$A$16)</f>
        <v>SV Wollerau</v>
      </c>
      <c r="F8" s="11" t="s">
        <v>9</v>
      </c>
    </row>
    <row r="9" spans="1:6" x14ac:dyDescent="0.25">
      <c r="A9" s="12" t="str">
        <f>IF(Stammdaten!$A4="","",Stammdaten!$A4)</f>
        <v>E1</v>
      </c>
      <c r="B9" s="13">
        <f>IF(Stammdaten!$A4="","",Stammdaten!$B4)</f>
        <v>46130</v>
      </c>
      <c r="C9" s="14">
        <f>IF(OR($A9="",C$8=""),"",SUMIFS(Zuteilungen!$H$2:$H$200,Zuteilungen!$A$2:$A$200,$A9,Zuteilungen!$E$2:$E$200,C$8,Zuteilungen!$F$2:$F$200,"x")+IF($B$5="JA",SUMIFS(Zuteilungen!$H$2:$H$200,Zuteilungen!$A$2:$A$200,$A9,Zuteilungen!$E$2:$E$200,C$8,Zuteilungen!$F$2:$F$200,"OK"),0))</f>
        <v>35</v>
      </c>
      <c r="D9" s="14">
        <f>IF(OR($A9="",D$8=""),"",SUMIFS(Zuteilungen!$H$2:$H$200,Zuteilungen!$A$2:$A$200,$A9,Zuteilungen!$E$2:$E$200,D$8,Zuteilungen!$F$2:$F$200,"x")+IF($B$5="JA",SUMIFS(Zuteilungen!$H$2:$H$200,Zuteilungen!$A$2:$A$200,$A9,Zuteilungen!$E$2:$E$200,D$8,Zuteilungen!$F$2:$F$200,"OK"),0))</f>
        <v>35</v>
      </c>
      <c r="E9" s="14">
        <f>IF(OR($A9="",E$8=""),"",SUMIFS(Zuteilungen!$H$2:$H$200,Zuteilungen!$A$2:$A$200,$A9,Zuteilungen!$E$2:$E$200,E$8,Zuteilungen!$F$2:$F$200,"x")+IF($B$5="JA",SUMIFS(Zuteilungen!$H$2:$H$200,Zuteilungen!$A$2:$A$200,$A9,Zuteilungen!$E$2:$E$200,E$8,Zuteilungen!$F$2:$F$200,"OK"),0))</f>
        <v>50</v>
      </c>
      <c r="F9" s="14">
        <f>IF($A9="","",SUM(C9:E9))</f>
        <v>120</v>
      </c>
    </row>
    <row r="10" spans="1:6" x14ac:dyDescent="0.25">
      <c r="A10" s="15" t="str">
        <f>IF(Stammdaten!$A5="","",Stammdaten!$A5)</f>
        <v>E2</v>
      </c>
      <c r="B10" s="16">
        <f>IF(Stammdaten!$A5="","",Stammdaten!$B5)</f>
        <v>46130</v>
      </c>
      <c r="C10" s="17">
        <f>IF(OR($A10="",C$8=""),"",SUMIFS(Zuteilungen!$H$2:$H$200,Zuteilungen!$A$2:$A$200,$A10,Zuteilungen!$E$2:$E$200,C$8,Zuteilungen!$F$2:$F$200,"x")+IF($B$5="JA",SUMIFS(Zuteilungen!$H$2:$H$200,Zuteilungen!$A$2:$A$200,$A10,Zuteilungen!$E$2:$E$200,C$8,Zuteilungen!$F$2:$F$200,"OK"),0))</f>
        <v>30</v>
      </c>
      <c r="D10" s="17">
        <f>IF(OR($A10="",D$8=""),"",SUMIFS(Zuteilungen!$H$2:$H$200,Zuteilungen!$A$2:$A$200,$A10,Zuteilungen!$E$2:$E$200,D$8,Zuteilungen!$F$2:$F$200,"x")+IF($B$5="JA",SUMIFS(Zuteilungen!$H$2:$H$200,Zuteilungen!$A$2:$A$200,$A10,Zuteilungen!$E$2:$E$200,D$8,Zuteilungen!$F$2:$F$200,"OK"),0))</f>
        <v>20</v>
      </c>
      <c r="E10" s="17">
        <f>IF(OR($A10="",E$8=""),"",SUMIFS(Zuteilungen!$H$2:$H$200,Zuteilungen!$A$2:$A$200,$A10,Zuteilungen!$E$2:$E$200,E$8,Zuteilungen!$F$2:$F$200,"x")+IF($B$5="JA",SUMIFS(Zuteilungen!$H$2:$H$200,Zuteilungen!$A$2:$A$200,$A10,Zuteilungen!$E$2:$E$200,E$8,Zuteilungen!$F$2:$F$200,"OK"),0))</f>
        <v>45</v>
      </c>
      <c r="F10" s="17">
        <f>IF($A10="","",SUM(C10:E10))</f>
        <v>95</v>
      </c>
    </row>
    <row r="11" spans="1:6" x14ac:dyDescent="0.25">
      <c r="A11" s="12" t="str">
        <f>IF(Stammdaten!$A6="","",Stammdaten!$A6)</f>
        <v>E3</v>
      </c>
      <c r="B11" s="13">
        <f>IF(Stammdaten!$A6="","",Stammdaten!$B6)</f>
        <v>46131</v>
      </c>
      <c r="C11" s="14">
        <f>IF(OR($A11="",C$8=""),"",SUMIFS(Zuteilungen!$H$2:$H$200,Zuteilungen!$A$2:$A$200,$A11,Zuteilungen!$E$2:$E$200,C$8,Zuteilungen!$F$2:$F$200,"x")+IF($B$5="JA",SUMIFS(Zuteilungen!$H$2:$H$200,Zuteilungen!$A$2:$A$200,$A11,Zuteilungen!$E$2:$E$200,C$8,Zuteilungen!$F$2:$F$200,"OK"),0))</f>
        <v>15</v>
      </c>
      <c r="D11" s="14">
        <f>IF(OR($A11="",D$8=""),"",SUMIFS(Zuteilungen!$H$2:$H$200,Zuteilungen!$A$2:$A$200,$A11,Zuteilungen!$E$2:$E$200,D$8,Zuteilungen!$F$2:$F$200,"x")+IF($B$5="JA",SUMIFS(Zuteilungen!$H$2:$H$200,Zuteilungen!$A$2:$A$200,$A11,Zuteilungen!$E$2:$E$200,D$8,Zuteilungen!$F$2:$F$200,"OK"),0))</f>
        <v>27</v>
      </c>
      <c r="E11" s="14">
        <f>IF(OR($A11="",E$8=""),"",SUMIFS(Zuteilungen!$H$2:$H$200,Zuteilungen!$A$2:$A$200,$A11,Zuteilungen!$E$2:$E$200,E$8,Zuteilungen!$F$2:$F$200,"x")+IF($B$5="JA",SUMIFS(Zuteilungen!$H$2:$H$200,Zuteilungen!$A$2:$A$200,$A11,Zuteilungen!$E$2:$E$200,E$8,Zuteilungen!$F$2:$F$200,"OK"),0))</f>
        <v>24</v>
      </c>
      <c r="F11" s="14">
        <f>IF($A11="","",SUM(C11:E11))</f>
        <v>66</v>
      </c>
    </row>
    <row r="12" spans="1:6" x14ac:dyDescent="0.25">
      <c r="A12" s="15" t="str">
        <f>IF(Stammdaten!$A7="","",Stammdaten!$A7)</f>
        <v>E4</v>
      </c>
      <c r="B12" s="16">
        <f>IF(Stammdaten!$A7="","",Stammdaten!$B7)</f>
        <v>46137</v>
      </c>
      <c r="C12" s="17">
        <f>IF(OR($A12="",C$8=""),"",SUMIFS(Zuteilungen!$H$2:$H$200,Zuteilungen!$A$2:$A$200,$A12,Zuteilungen!$E$2:$E$200,C$8,Zuteilungen!$F$2:$F$200,"x")+IF($B$5="JA",SUMIFS(Zuteilungen!$H$2:$H$200,Zuteilungen!$A$2:$A$200,$A12,Zuteilungen!$E$2:$E$200,C$8,Zuteilungen!$F$2:$F$200,"OK"),0))</f>
        <v>30</v>
      </c>
      <c r="D12" s="17">
        <f>IF(OR($A12="",D$8=""),"",SUMIFS(Zuteilungen!$H$2:$H$200,Zuteilungen!$A$2:$A$200,$A12,Zuteilungen!$E$2:$E$200,D$8,Zuteilungen!$F$2:$F$200,"x")+IF($B$5="JA",SUMIFS(Zuteilungen!$H$2:$H$200,Zuteilungen!$A$2:$A$200,$A12,Zuteilungen!$E$2:$E$200,D$8,Zuteilungen!$F$2:$F$200,"OK"),0))</f>
        <v>20</v>
      </c>
      <c r="E12" s="17">
        <f>IF(OR($A12="",E$8=""),"",SUMIFS(Zuteilungen!$H$2:$H$200,Zuteilungen!$A$2:$A$200,$A12,Zuteilungen!$E$2:$E$200,E$8,Zuteilungen!$F$2:$F$200,"x")+IF($B$5="JA",SUMIFS(Zuteilungen!$H$2:$H$200,Zuteilungen!$A$2:$A$200,$A12,Zuteilungen!$E$2:$E$200,E$8,Zuteilungen!$F$2:$F$200,"OK"),0))</f>
        <v>35</v>
      </c>
      <c r="F12" s="17">
        <f>IF($A12="","",SUM(C12:E12))</f>
        <v>85</v>
      </c>
    </row>
    <row r="13" spans="1:6" x14ac:dyDescent="0.25">
      <c r="A13" s="12" t="str">
        <f>IF(Stammdaten!$A8="","",Stammdaten!$A8)</f>
        <v>E5</v>
      </c>
      <c r="B13" s="13">
        <f>IF(Stammdaten!$A8="","",Stammdaten!$B8)</f>
        <v>45773</v>
      </c>
      <c r="C13" s="14">
        <f>IF(OR($A13="",C$8=""),"",SUMIFS(Zuteilungen!$H$2:$H$200,Zuteilungen!$A$2:$A$200,$A13,Zuteilungen!$E$2:$E$200,C$8,Zuteilungen!$F$2:$F$200,"x")+IF($B$5="JA",SUMIFS(Zuteilungen!$H$2:$H$200,Zuteilungen!$A$2:$A$200,$A13,Zuteilungen!$E$2:$E$200,C$8,Zuteilungen!$F$2:$F$200,"OK"),0))</f>
        <v>0</v>
      </c>
      <c r="D13" s="14">
        <f>IF(OR($A13="",D$8=""),"",SUMIFS(Zuteilungen!$H$2:$H$200,Zuteilungen!$A$2:$A$200,$A13,Zuteilungen!$E$2:$E$200,D$8,Zuteilungen!$F$2:$F$200,"x")+IF($B$5="JA",SUMIFS(Zuteilungen!$H$2:$H$200,Zuteilungen!$A$2:$A$200,$A13,Zuteilungen!$E$2:$E$200,D$8,Zuteilungen!$F$2:$F$200,"OK"),0))</f>
        <v>0</v>
      </c>
      <c r="E13" s="14">
        <f>IF(OR($A13="",E$8=""),"",SUMIFS(Zuteilungen!$H$2:$H$200,Zuteilungen!$A$2:$A$200,$A13,Zuteilungen!$E$2:$E$200,E$8,Zuteilungen!$F$2:$F$200,"x")+IF($B$5="JA",SUMIFS(Zuteilungen!$H$2:$H$200,Zuteilungen!$A$2:$A$200,$A13,Zuteilungen!$E$2:$E$200,E$8,Zuteilungen!$F$2:$F$200,"OK"),0))</f>
        <v>5</v>
      </c>
      <c r="F13" s="14">
        <f>IF($A13="","",SUM(C13:E13))</f>
        <v>5</v>
      </c>
    </row>
    <row r="14" spans="1:6" x14ac:dyDescent="0.25">
      <c r="A14" s="15" t="str">
        <f>IF(Stammdaten!$A9="","",Stammdaten!$A9)</f>
        <v/>
      </c>
      <c r="B14" s="16" t="str">
        <f>IF(Stammdaten!$A9="","",Stammdaten!$B9)</f>
        <v/>
      </c>
      <c r="C14" s="17" t="str">
        <f>IF(OR($A14="",C$8=""),"",SUMIFS(Zuteilungen!$H$2:$H$200,Zuteilungen!$A$2:$A$200,$A14,Zuteilungen!$E$2:$E$200,C$8,Zuteilungen!$F$2:$F$200,"x")+IF($B$5="JA",SUMIFS(Zuteilungen!$H$2:$H$200,Zuteilungen!$A$2:$A$200,$A14,Zuteilungen!$E$2:$E$200,C$8,Zuteilungen!$F$2:$F$200,"OK"),0))</f>
        <v/>
      </c>
      <c r="D14" s="17" t="str">
        <f>IF(OR($A14="",D$8=""),"",SUMIFS(Zuteilungen!$H$2:$H$200,Zuteilungen!$A$2:$A$200,$A14,Zuteilungen!$E$2:$E$200,D$8,Zuteilungen!$F$2:$F$200,"x")+IF($B$5="JA",SUMIFS(Zuteilungen!$H$2:$H$200,Zuteilungen!$A$2:$A$200,$A14,Zuteilungen!$E$2:$E$200,D$8,Zuteilungen!$F$2:$F$200,"OK"),0))</f>
        <v/>
      </c>
      <c r="E14" s="17" t="str">
        <f>IF(OR($A14="",E$8=""),"",SUMIFS(Zuteilungen!$H$2:$H$200,Zuteilungen!$A$2:$A$200,$A14,Zuteilungen!$E$2:$E$200,E$8,Zuteilungen!$F$2:$F$200,"x")+IF($B$5="JA",SUMIFS(Zuteilungen!$H$2:$H$200,Zuteilungen!$A$2:$A$200,$A14,Zuteilungen!$E$2:$E$200,E$8,Zuteilungen!$F$2:$F$200,"OK"),0))</f>
        <v/>
      </c>
      <c r="F14" s="17" t="str">
        <f>IF($A14="","",SUM(C14:E14))</f>
        <v/>
      </c>
    </row>
    <row r="15" spans="1:6" x14ac:dyDescent="0.25">
      <c r="A15" s="18" t="s">
        <v>9</v>
      </c>
      <c r="B15" s="18"/>
      <c r="C15" s="19">
        <f t="shared" ref="C15:F15" si="0">SUM(C9:C14)</f>
        <v>110</v>
      </c>
      <c r="D15" s="19">
        <f t="shared" si="0"/>
        <v>102</v>
      </c>
      <c r="E15" s="19">
        <f t="shared" si="0"/>
        <v>159</v>
      </c>
      <c r="F15" s="19">
        <f t="shared" si="0"/>
        <v>371</v>
      </c>
    </row>
    <row r="18" spans="1:6" ht="16.5" thickBot="1" x14ac:dyDescent="0.3">
      <c r="A18" s="10" t="s">
        <v>10</v>
      </c>
    </row>
    <row r="19" spans="1:6" ht="30" customHeight="1" thickBot="1" x14ac:dyDescent="0.3">
      <c r="A19" s="11" t="s">
        <v>7</v>
      </c>
      <c r="B19" s="11" t="s">
        <v>8</v>
      </c>
      <c r="C19" s="11" t="str">
        <f>IF(Stammdaten!$A$14="","",Stammdaten!$A$14)</f>
        <v>SV F'bach-Pf'kon</v>
      </c>
      <c r="D19" s="11" t="str">
        <f>IF(Stammdaten!$A$15="","",Stammdaten!$A$15)</f>
        <v>MSV Wilen</v>
      </c>
      <c r="E19" s="11" t="str">
        <f>IF(Stammdaten!$A$16="","",Stammdaten!$A$16)</f>
        <v>SV Wollerau</v>
      </c>
      <c r="F19" s="11" t="s">
        <v>9</v>
      </c>
    </row>
    <row r="20" spans="1:6" x14ac:dyDescent="0.25">
      <c r="A20" s="15" t="str">
        <f>IF(Stammdaten!$A4="","",Stammdaten!$A4)</f>
        <v>E1</v>
      </c>
      <c r="B20" s="16">
        <f>IF(Stammdaten!$A4="","",Stammdaten!$B4)</f>
        <v>46130</v>
      </c>
      <c r="C20" s="20">
        <f>IF(OR($A20="",C$19=""),"",COUNTIFS(Zuteilungen!$A$2:$A$200,$A20,Zuteilungen!$E$2:$E$200,C$19,Zuteilungen!$F$2:$F$200,"x")+IF($B$5="JA",COUNTIFS(Zuteilungen!$A$2:$A$200,$A20,Zuteilungen!$E$2:$E$200,C$19,Zuteilungen!$F$2:$F$200,"OK"),0))</f>
        <v>7</v>
      </c>
      <c r="D20" s="20">
        <f>IF(OR($A20="",D$19=""),"",COUNTIFS(Zuteilungen!$A$2:$A$200,$A20,Zuteilungen!$E$2:$E$200,D$19,Zuteilungen!$F$2:$F$200,"x")+IF($B$5="JA",COUNTIFS(Zuteilungen!$A$2:$A$200,$A20,Zuteilungen!$E$2:$E$200,D$19,Zuteilungen!$F$2:$F$200,"OK"),0))</f>
        <v>7</v>
      </c>
      <c r="E20" s="20">
        <f>IF(OR($A20="",E$19=""),"",COUNTIFS(Zuteilungen!$A$2:$A$200,$A20,Zuteilungen!$E$2:$E$200,E$19,Zuteilungen!$F$2:$F$200,"x")+IF($B$5="JA",COUNTIFS(Zuteilungen!$A$2:$A$200,$A20,Zuteilungen!$E$2:$E$200,E$19,Zuteilungen!$F$2:$F$200,"OK"),0))</f>
        <v>10</v>
      </c>
      <c r="F20" s="20">
        <f>IF($A20="","",SUM(C20:E20))</f>
        <v>24</v>
      </c>
    </row>
    <row r="21" spans="1:6" x14ac:dyDescent="0.25">
      <c r="A21" s="12" t="str">
        <f>IF(Stammdaten!$A5="","",Stammdaten!$A5)</f>
        <v>E2</v>
      </c>
      <c r="B21" s="13">
        <f>IF(Stammdaten!$A5="","",Stammdaten!$B5)</f>
        <v>46130</v>
      </c>
      <c r="C21" s="21">
        <f>IF(OR($A21="",C$19=""),"",COUNTIFS(Zuteilungen!$A$2:$A$200,$A21,Zuteilungen!$E$2:$E$200,C$19,Zuteilungen!$F$2:$F$200,"x")+IF($B$5="JA",COUNTIFS(Zuteilungen!$A$2:$A$200,$A21,Zuteilungen!$E$2:$E$200,C$19,Zuteilungen!$F$2:$F$200,"OK"),0))</f>
        <v>6</v>
      </c>
      <c r="D21" s="21">
        <f>IF(OR($A21="",D$19=""),"",COUNTIFS(Zuteilungen!$A$2:$A$200,$A21,Zuteilungen!$E$2:$E$200,D$19,Zuteilungen!$F$2:$F$200,"x")+IF($B$5="JA",COUNTIFS(Zuteilungen!$A$2:$A$200,$A21,Zuteilungen!$E$2:$E$200,D$19,Zuteilungen!$F$2:$F$200,"OK"),0))</f>
        <v>4</v>
      </c>
      <c r="E21" s="21">
        <f>IF(OR($A21="",E$19=""),"",COUNTIFS(Zuteilungen!$A$2:$A$200,$A21,Zuteilungen!$E$2:$E$200,E$19,Zuteilungen!$F$2:$F$200,"x")+IF($B$5="JA",COUNTIFS(Zuteilungen!$A$2:$A$200,$A21,Zuteilungen!$E$2:$E$200,E$19,Zuteilungen!$F$2:$F$200,"OK"),0))</f>
        <v>9</v>
      </c>
      <c r="F21" s="21">
        <f>IF($A21="","",SUM(C21:E21))</f>
        <v>19</v>
      </c>
    </row>
    <row r="22" spans="1:6" x14ac:dyDescent="0.25">
      <c r="A22" s="15" t="str">
        <f>IF(Stammdaten!$A6="","",Stammdaten!$A6)</f>
        <v>E3</v>
      </c>
      <c r="B22" s="16">
        <f>IF(Stammdaten!$A6="","",Stammdaten!$B6)</f>
        <v>46131</v>
      </c>
      <c r="C22" s="20">
        <f>IF(OR($A22="",C$19=""),"",COUNTIFS(Zuteilungen!$A$2:$A$200,$A22,Zuteilungen!$E$2:$E$200,C$19,Zuteilungen!$F$2:$F$200,"x")+IF($B$5="JA",COUNTIFS(Zuteilungen!$A$2:$A$200,$A22,Zuteilungen!$E$2:$E$200,C$19,Zuteilungen!$F$2:$F$200,"OK"),0))</f>
        <v>5</v>
      </c>
      <c r="D22" s="20">
        <f>IF(OR($A22="",D$19=""),"",COUNTIFS(Zuteilungen!$A$2:$A$200,$A22,Zuteilungen!$E$2:$E$200,D$19,Zuteilungen!$F$2:$F$200,"x")+IF($B$5="JA",COUNTIFS(Zuteilungen!$A$2:$A$200,$A22,Zuteilungen!$E$2:$E$200,D$19,Zuteilungen!$F$2:$F$200,"OK"),0))</f>
        <v>9</v>
      </c>
      <c r="E22" s="20">
        <f>IF(OR($A22="",E$19=""),"",COUNTIFS(Zuteilungen!$A$2:$A$200,$A22,Zuteilungen!$E$2:$E$200,E$19,Zuteilungen!$F$2:$F$200,"x")+IF($B$5="JA",COUNTIFS(Zuteilungen!$A$2:$A$200,$A22,Zuteilungen!$E$2:$E$200,E$19,Zuteilungen!$F$2:$F$200,"OK"),0))</f>
        <v>8</v>
      </c>
      <c r="F22" s="20">
        <f>IF($A22="","",SUM(C22:E22))</f>
        <v>22</v>
      </c>
    </row>
    <row r="23" spans="1:6" x14ac:dyDescent="0.25">
      <c r="A23" s="12" t="str">
        <f>IF(Stammdaten!$A7="","",Stammdaten!$A7)</f>
        <v>E4</v>
      </c>
      <c r="B23" s="13">
        <f>IF(Stammdaten!$A7="","",Stammdaten!$B7)</f>
        <v>46137</v>
      </c>
      <c r="C23" s="21">
        <f>IF(OR($A23="",C$19=""),"",COUNTIFS(Zuteilungen!$A$2:$A$200,$A23,Zuteilungen!$E$2:$E$200,C$19,Zuteilungen!$F$2:$F$200,"x")+IF($B$5="JA",COUNTIFS(Zuteilungen!$A$2:$A$200,$A23,Zuteilungen!$E$2:$E$200,C$19,Zuteilungen!$F$2:$F$200,"OK"),0))</f>
        <v>6</v>
      </c>
      <c r="D23" s="21">
        <f>IF(OR($A23="",D$19=""),"",COUNTIFS(Zuteilungen!$A$2:$A$200,$A23,Zuteilungen!$E$2:$E$200,D$19,Zuteilungen!$F$2:$F$200,"x")+IF($B$5="JA",COUNTIFS(Zuteilungen!$A$2:$A$200,$A23,Zuteilungen!$E$2:$E$200,D$19,Zuteilungen!$F$2:$F$200,"OK"),0))</f>
        <v>4</v>
      </c>
      <c r="E23" s="21">
        <f>IF(OR($A23="",E$19=""),"",COUNTIFS(Zuteilungen!$A$2:$A$200,$A23,Zuteilungen!$E$2:$E$200,E$19,Zuteilungen!$F$2:$F$200,"x")+IF($B$5="JA",COUNTIFS(Zuteilungen!$A$2:$A$200,$A23,Zuteilungen!$E$2:$E$200,E$19,Zuteilungen!$F$2:$F$200,"OK"),0))</f>
        <v>7</v>
      </c>
      <c r="F23" s="21">
        <f>IF($A23="","",SUM(C23:E23))</f>
        <v>17</v>
      </c>
    </row>
    <row r="24" spans="1:6" x14ac:dyDescent="0.25">
      <c r="A24" s="15" t="str">
        <f>IF(Stammdaten!$A8="","",Stammdaten!$A8)</f>
        <v>E5</v>
      </c>
      <c r="B24" s="16">
        <f>IF(Stammdaten!$A8="","",Stammdaten!$B8)</f>
        <v>45773</v>
      </c>
      <c r="C24" s="20">
        <f>IF(OR($A24="",C$19=""),"",COUNTIFS(Zuteilungen!$A$2:$A$200,$A24,Zuteilungen!$E$2:$E$200,C$19,Zuteilungen!$F$2:$F$200,"x")+IF($B$5="JA",COUNTIFS(Zuteilungen!$A$2:$A$200,$A24,Zuteilungen!$E$2:$E$200,C$19,Zuteilungen!$F$2:$F$200,"OK"),0))</f>
        <v>0</v>
      </c>
      <c r="D24" s="20">
        <f>IF(OR($A24="",D$19=""),"",COUNTIFS(Zuteilungen!$A$2:$A$200,$A24,Zuteilungen!$E$2:$E$200,D$19,Zuteilungen!$F$2:$F$200,"x")+IF($B$5="JA",COUNTIFS(Zuteilungen!$A$2:$A$200,$A24,Zuteilungen!$E$2:$E$200,D$19,Zuteilungen!$F$2:$F$200,"OK"),0))</f>
        <v>0</v>
      </c>
      <c r="E24" s="20">
        <f>IF(OR($A24="",E$19=""),"",COUNTIFS(Zuteilungen!$A$2:$A$200,$A24,Zuteilungen!$E$2:$E$200,E$19,Zuteilungen!$F$2:$F$200,"x")+IF($B$5="JA",COUNTIFS(Zuteilungen!$A$2:$A$200,$A24,Zuteilungen!$E$2:$E$200,E$19,Zuteilungen!$F$2:$F$200,"OK"),0))</f>
        <v>1</v>
      </c>
      <c r="F24" s="20">
        <f>IF($A24="","",SUM(C24:E24))</f>
        <v>1</v>
      </c>
    </row>
    <row r="25" spans="1:6" x14ac:dyDescent="0.25">
      <c r="A25" s="12" t="str">
        <f>IF(Stammdaten!$A9="","",Stammdaten!$A9)</f>
        <v/>
      </c>
      <c r="B25" s="13" t="str">
        <f>IF(Stammdaten!$A9="","",Stammdaten!$B9)</f>
        <v/>
      </c>
      <c r="C25" s="21" t="str">
        <f>IF(OR($A25="",C$19=""),"",COUNTIFS(Zuteilungen!$A$2:$A$200,$A25,Zuteilungen!$E$2:$E$200,C$19,Zuteilungen!$F$2:$F$200,"x")+IF($B$5="JA",COUNTIFS(Zuteilungen!$A$2:$A$200,$A25,Zuteilungen!$E$2:$E$200,C$19,Zuteilungen!$F$2:$F$200,"OK"),0))</f>
        <v/>
      </c>
      <c r="D25" s="21" t="str">
        <f>IF(OR($A25="",D$19=""),"",COUNTIFS(Zuteilungen!$A$2:$A$200,$A25,Zuteilungen!$E$2:$E$200,D$19,Zuteilungen!$F$2:$F$200,"x")+IF($B$5="JA",COUNTIFS(Zuteilungen!$A$2:$A$200,$A25,Zuteilungen!$E$2:$E$200,D$19,Zuteilungen!$F$2:$F$200,"OK"),0))</f>
        <v/>
      </c>
      <c r="E25" s="21" t="str">
        <f>IF(OR($A25="",E$19=""),"",COUNTIFS(Zuteilungen!$A$2:$A$200,$A25,Zuteilungen!$E$2:$E$200,E$19,Zuteilungen!$F$2:$F$200,"x")+IF($B$5="JA",COUNTIFS(Zuteilungen!$A$2:$A$200,$A25,Zuteilungen!$E$2:$E$200,E$19,Zuteilungen!$F$2:$F$200,"OK"),0))</f>
        <v/>
      </c>
      <c r="F25" s="21" t="str">
        <f>IF($A25="","",SUM(C25:E25))</f>
        <v/>
      </c>
    </row>
    <row r="26" spans="1:6" x14ac:dyDescent="0.25">
      <c r="A26" s="18" t="s">
        <v>9</v>
      </c>
      <c r="B26" s="18"/>
      <c r="C26" s="22">
        <f t="shared" ref="C26:F26" si="1">SUM(C20:C25)</f>
        <v>24</v>
      </c>
      <c r="D26" s="22">
        <f t="shared" si="1"/>
        <v>24</v>
      </c>
      <c r="E26" s="22">
        <f t="shared" si="1"/>
        <v>35</v>
      </c>
      <c r="F26" s="22">
        <f t="shared" si="1"/>
        <v>83</v>
      </c>
    </row>
    <row r="29" spans="1:6" ht="16.5" thickBot="1" x14ac:dyDescent="0.3">
      <c r="A29" s="10" t="s">
        <v>11</v>
      </c>
    </row>
    <row r="30" spans="1:6" ht="25.5" customHeight="1" thickBot="1" x14ac:dyDescent="0.3">
      <c r="A30" s="23" t="s">
        <v>12</v>
      </c>
      <c r="B30" s="11"/>
      <c r="C30" s="11" t="str">
        <f>IF(Stammdaten!$A$14="","",Stammdaten!$A$14)</f>
        <v>SV F'bach-Pf'kon</v>
      </c>
      <c r="D30" s="11" t="str">
        <f>IF(Stammdaten!$A$15="","",Stammdaten!$A$15)</f>
        <v>MSV Wilen</v>
      </c>
      <c r="E30" s="11" t="str">
        <f>IF(Stammdaten!$A$16="","",Stammdaten!$A$16)</f>
        <v>SV Wollerau</v>
      </c>
      <c r="F30" s="11" t="s">
        <v>9</v>
      </c>
    </row>
    <row r="31" spans="1:6" x14ac:dyDescent="0.25">
      <c r="A31" s="12" t="s">
        <v>13</v>
      </c>
      <c r="B31" s="12"/>
      <c r="C31" s="14">
        <f t="shared" ref="C31:E31" si="2">IF(C$8="","",C15)</f>
        <v>110</v>
      </c>
      <c r="D31" s="14">
        <f t="shared" si="2"/>
        <v>102</v>
      </c>
      <c r="E31" s="14">
        <f t="shared" si="2"/>
        <v>159</v>
      </c>
      <c r="F31" s="14">
        <f>F15</f>
        <v>371</v>
      </c>
    </row>
    <row r="32" spans="1:6" x14ac:dyDescent="0.25">
      <c r="A32" s="12" t="s">
        <v>14</v>
      </c>
      <c r="B32" s="12"/>
      <c r="C32" s="14">
        <f>IF(C$30="","",SUMIFS('Vor- und Nacharbeiten'!$D$5:$D$64,'Vor- und Nacharbeiten'!$C$5:$C$64,C$30,'Vor- und Nacharbeiten'!$E$5:$E$64,"x")+IF($B$5="JA",SUMIFS('Vor- und Nacharbeiten'!$D$5:$D$64,'Vor- und Nacharbeiten'!$C$5:$C$64,C$30,'Vor- und Nacharbeiten'!$E$5:$E$64,"OK"),0))</f>
        <v>108</v>
      </c>
      <c r="D32" s="14">
        <f>IF(D$30="","",SUMIFS('Vor- und Nacharbeiten'!$D$5:$D$64,'Vor- und Nacharbeiten'!$C$5:$C$64,D$30,'Vor- und Nacharbeiten'!$E$5:$E$64,"x")+IF($B$5="JA",SUMIFS('Vor- und Nacharbeiten'!$D$5:$D$64,'Vor- und Nacharbeiten'!$C$5:$C$64,D$30,'Vor- und Nacharbeiten'!$E$5:$E$64,"OK"),0))</f>
        <v>103</v>
      </c>
      <c r="E32" s="14">
        <f>IF(E$30="","",SUMIFS('Vor- und Nacharbeiten'!$D$5:$D$64,'Vor- und Nacharbeiten'!$C$5:$C$64,E$30,'Vor- und Nacharbeiten'!$E$5:$E$64,"x")+IF($B$5="JA",SUMIFS('Vor- und Nacharbeiten'!$D$5:$D$64,'Vor- und Nacharbeiten'!$C$5:$C$64,E$30,'Vor- und Nacharbeiten'!$E$5:$E$64,"OK"),0))</f>
        <v>62</v>
      </c>
      <c r="F32" s="14">
        <f>SUM(C32:E32)</f>
        <v>273</v>
      </c>
    </row>
    <row r="33" spans="1:6" x14ac:dyDescent="0.25">
      <c r="A33" s="18" t="s">
        <v>15</v>
      </c>
      <c r="B33" s="18"/>
      <c r="C33" s="19">
        <f t="shared" ref="C33:F33" si="3">N(C31)+N(C32)</f>
        <v>218</v>
      </c>
      <c r="D33" s="19">
        <f t="shared" si="3"/>
        <v>205</v>
      </c>
      <c r="E33" s="19">
        <f t="shared" si="3"/>
        <v>221</v>
      </c>
      <c r="F33" s="19">
        <f t="shared" si="3"/>
        <v>644</v>
      </c>
    </row>
    <row r="34" spans="1:6" x14ac:dyDescent="0.25">
      <c r="A34" s="24" t="s">
        <v>16</v>
      </c>
      <c r="B34" s="24"/>
      <c r="C34" s="25">
        <f>IF($F33=0,"",C33/$F33)</f>
        <v>0.33850931677018631</v>
      </c>
      <c r="D34" s="25">
        <f>IF($F33=0,"",D33/$F33)</f>
        <v>0.31832298136645965</v>
      </c>
      <c r="E34" s="25">
        <f>IF($F33=0,"",E33/$F33)</f>
        <v>0.34316770186335405</v>
      </c>
      <c r="F34" s="25">
        <f>IF($F33=0,"",F33/$F33)</f>
        <v>1</v>
      </c>
    </row>
    <row r="37" spans="1:6" ht="15.75" x14ac:dyDescent="0.25">
      <c r="A37" s="10" t="s">
        <v>17</v>
      </c>
    </row>
    <row r="38" spans="1:6" x14ac:dyDescent="0.25">
      <c r="A38" s="4" t="s">
        <v>18</v>
      </c>
      <c r="B38" s="4"/>
      <c r="C38" s="26">
        <f>IF(F15="",0,F15)</f>
        <v>371</v>
      </c>
    </row>
    <row r="39" spans="1:6" x14ac:dyDescent="0.25">
      <c r="A39" s="4" t="s">
        <v>19</v>
      </c>
      <c r="B39" s="4"/>
      <c r="C39" s="27">
        <f>F26</f>
        <v>83</v>
      </c>
    </row>
    <row r="40" spans="1:6" x14ac:dyDescent="0.25">
      <c r="A40" s="4" t="s">
        <v>20</v>
      </c>
      <c r="B40" s="4"/>
      <c r="C40" s="27">
        <f>COUNTIFS(Zuteilungen!$F$2:$F$200,"OK")</f>
        <v>15</v>
      </c>
    </row>
    <row r="41" spans="1:6" x14ac:dyDescent="0.25">
      <c r="A41" s="4" t="s">
        <v>21</v>
      </c>
      <c r="B41" s="4"/>
      <c r="C41" s="26">
        <f>SUMIFS(Zuteilungen!$H$2:$H$200,Zuteilungen!$F$2:$F$200,"OK")</f>
        <v>65</v>
      </c>
    </row>
    <row r="42" spans="1:6" x14ac:dyDescent="0.25">
      <c r="A42" s="4" t="s">
        <v>22</v>
      </c>
      <c r="B42" s="4"/>
      <c r="C42" s="27">
        <f>COUNTIFS(Zuteilungen!$D$2:$D$200,"&lt;&gt;",Zuteilungen!$F$2:$F$200,"")</f>
        <v>0</v>
      </c>
    </row>
    <row r="43" spans="1:6" x14ac:dyDescent="0.25">
      <c r="A43" s="4" t="s">
        <v>23</v>
      </c>
      <c r="B43" s="4"/>
      <c r="C43" s="26">
        <f>N(F32)</f>
        <v>273</v>
      </c>
    </row>
    <row r="44" spans="1:6" x14ac:dyDescent="0.25">
      <c r="A44" s="4" t="s">
        <v>24</v>
      </c>
      <c r="B44" s="4"/>
      <c r="C44" s="27">
        <f>COUNTIFS(Zuteilungen!$D$2:$D$200,"&lt;&gt;",Zuteilungen!$I$2:$I$200,"&lt;&gt;")</f>
        <v>1</v>
      </c>
    </row>
    <row r="47" spans="1:6" ht="15.75" hidden="1" x14ac:dyDescent="0.25">
      <c r="A47" s="10" t="s">
        <v>25</v>
      </c>
    </row>
    <row r="48" spans="1:6" hidden="1" x14ac:dyDescent="0.25">
      <c r="A48" s="28" t="s">
        <v>26</v>
      </c>
    </row>
    <row r="49" spans="1:1" hidden="1" x14ac:dyDescent="0.25">
      <c r="A49" s="28" t="s">
        <v>27</v>
      </c>
    </row>
    <row r="50" spans="1:1" hidden="1" x14ac:dyDescent="0.25">
      <c r="A50" s="29" t="s">
        <v>28</v>
      </c>
    </row>
    <row r="51" spans="1:1" hidden="1" x14ac:dyDescent="0.25">
      <c r="A51" s="29" t="s">
        <v>29</v>
      </c>
    </row>
    <row r="52" spans="1:1" hidden="1" x14ac:dyDescent="0.25">
      <c r="A52" s="28" t="s">
        <v>30</v>
      </c>
    </row>
    <row r="53" spans="1:1" hidden="1" x14ac:dyDescent="0.25">
      <c r="A53" s="28" t="s">
        <v>31</v>
      </c>
    </row>
    <row r="54" spans="1:1" hidden="1" x14ac:dyDescent="0.25">
      <c r="A54" s="28" t="s">
        <v>32</v>
      </c>
    </row>
    <row r="55" spans="1:1" hidden="1" x14ac:dyDescent="0.25">
      <c r="A55" s="28" t="s">
        <v>33</v>
      </c>
    </row>
    <row r="56" spans="1:1" hidden="1" x14ac:dyDescent="0.25">
      <c r="A56" s="28" t="s">
        <v>34</v>
      </c>
    </row>
    <row r="57" spans="1:1" hidden="1" x14ac:dyDescent="0.25">
      <c r="A57" s="28" t="s">
        <v>35</v>
      </c>
    </row>
  </sheetData>
  <mergeCells count="7">
    <mergeCell ref="A43:B43"/>
    <mergeCell ref="A44:B44"/>
    <mergeCell ref="A38:B38"/>
    <mergeCell ref="A39:B39"/>
    <mergeCell ref="A40:B40"/>
    <mergeCell ref="A41:B41"/>
    <mergeCell ref="A42:B42"/>
  </mergeCells>
  <dataValidations count="1">
    <dataValidation type="list" sqref="B5" xr:uid="{00000000-0002-0000-0000-000000000000}">
      <formula1>"JA,NEIN"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49"/>
  <sheetViews>
    <sheetView showGridLines="0" zoomScaleNormal="100" workbookViewId="0">
      <pane xSplit="1" ySplit="7" topLeftCell="B35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ColWidth="8.7109375" defaultRowHeight="15" x14ac:dyDescent="0.25"/>
  <cols>
    <col min="1" max="1" width="18" customWidth="1"/>
    <col min="2" max="2" width="20" customWidth="1"/>
    <col min="3" max="5" width="7" customWidth="1"/>
    <col min="6" max="6" width="20" customWidth="1"/>
    <col min="7" max="9" width="7" customWidth="1"/>
    <col min="10" max="10" width="20" customWidth="1"/>
    <col min="11" max="13" width="7" customWidth="1"/>
    <col min="14" max="14" width="20" customWidth="1"/>
    <col min="15" max="17" width="7" customWidth="1"/>
  </cols>
  <sheetData>
    <row r="1" spans="1:17" ht="20.25" x14ac:dyDescent="0.3">
      <c r="A1" s="46" t="s">
        <v>179</v>
      </c>
    </row>
    <row r="2" spans="1:17" x14ac:dyDescent="0.25">
      <c r="A2" s="7" t="s">
        <v>180</v>
      </c>
    </row>
    <row r="4" spans="1:17" x14ac:dyDescent="0.25">
      <c r="A4" s="64" t="s">
        <v>8</v>
      </c>
      <c r="B4" s="2" t="s">
        <v>181</v>
      </c>
      <c r="C4" s="2"/>
      <c r="D4" s="2"/>
      <c r="E4" s="2"/>
      <c r="F4" s="2" t="s">
        <v>181</v>
      </c>
      <c r="G4" s="2"/>
      <c r="H4" s="2"/>
      <c r="I4" s="2"/>
      <c r="J4" s="2" t="s">
        <v>182</v>
      </c>
      <c r="K4" s="2"/>
      <c r="L4" s="2"/>
      <c r="M4" s="2"/>
      <c r="N4" s="2" t="s">
        <v>183</v>
      </c>
      <c r="O4" s="2"/>
      <c r="P4" s="2"/>
      <c r="Q4" s="2"/>
    </row>
    <row r="5" spans="1:17" x14ac:dyDescent="0.25">
      <c r="A5" s="65" t="s">
        <v>116</v>
      </c>
      <c r="B5" s="1" t="s">
        <v>122</v>
      </c>
      <c r="C5" s="1"/>
      <c r="D5" s="1"/>
      <c r="E5" s="1"/>
      <c r="F5" s="1" t="s">
        <v>125</v>
      </c>
      <c r="G5" s="1"/>
      <c r="H5" s="1"/>
      <c r="I5" s="1"/>
      <c r="J5" s="1" t="s">
        <v>128</v>
      </c>
      <c r="K5" s="1"/>
      <c r="L5" s="1"/>
      <c r="M5" s="1"/>
      <c r="N5" s="1" t="s">
        <v>122</v>
      </c>
      <c r="O5" s="1"/>
      <c r="P5" s="1"/>
      <c r="Q5" s="1"/>
    </row>
    <row r="6" spans="1:17" x14ac:dyDescent="0.25">
      <c r="A6" s="65" t="s">
        <v>117</v>
      </c>
      <c r="B6" s="1" t="s">
        <v>123</v>
      </c>
      <c r="C6" s="1"/>
      <c r="D6" s="1"/>
      <c r="E6" s="1"/>
      <c r="F6" s="1" t="s">
        <v>126</v>
      </c>
      <c r="G6" s="1"/>
      <c r="H6" s="1"/>
      <c r="I6" s="1"/>
      <c r="J6" s="1" t="s">
        <v>129</v>
      </c>
      <c r="K6" s="1"/>
      <c r="L6" s="1"/>
      <c r="M6" s="1"/>
      <c r="N6" s="1" t="s">
        <v>123</v>
      </c>
      <c r="O6" s="1"/>
      <c r="P6" s="1"/>
      <c r="Q6" s="1"/>
    </row>
    <row r="7" spans="1:17" ht="30" customHeight="1" x14ac:dyDescent="0.25">
      <c r="A7" s="66" t="s">
        <v>37</v>
      </c>
      <c r="B7" s="67" t="s">
        <v>38</v>
      </c>
      <c r="C7" s="67" t="s">
        <v>184</v>
      </c>
      <c r="D7" s="67" t="s">
        <v>185</v>
      </c>
      <c r="E7" s="67" t="s">
        <v>186</v>
      </c>
      <c r="F7" s="67" t="s">
        <v>38</v>
      </c>
      <c r="G7" s="67" t="s">
        <v>184</v>
      </c>
      <c r="H7" s="67" t="s">
        <v>185</v>
      </c>
      <c r="I7" s="67" t="s">
        <v>186</v>
      </c>
      <c r="J7" s="67" t="s">
        <v>38</v>
      </c>
      <c r="K7" s="67" t="s">
        <v>184</v>
      </c>
      <c r="L7" s="67" t="s">
        <v>185</v>
      </c>
      <c r="M7" s="67" t="s">
        <v>186</v>
      </c>
      <c r="N7" s="67" t="s">
        <v>38</v>
      </c>
      <c r="O7" s="67" t="s">
        <v>184</v>
      </c>
      <c r="P7" s="67" t="s">
        <v>185</v>
      </c>
      <c r="Q7" s="67" t="s">
        <v>186</v>
      </c>
    </row>
    <row r="8" spans="1:17" x14ac:dyDescent="0.25">
      <c r="A8" s="68" t="s">
        <v>46</v>
      </c>
      <c r="B8" s="12" t="s">
        <v>47</v>
      </c>
      <c r="C8" s="69"/>
      <c r="D8" s="69"/>
      <c r="E8" s="34" t="s">
        <v>49</v>
      </c>
      <c r="F8" s="12" t="s">
        <v>47</v>
      </c>
      <c r="G8" s="69"/>
      <c r="H8" s="69"/>
      <c r="I8" s="34" t="s">
        <v>49</v>
      </c>
      <c r="J8" s="12" t="s">
        <v>47</v>
      </c>
      <c r="K8" s="69"/>
      <c r="L8" s="69"/>
      <c r="M8" s="34" t="s">
        <v>49</v>
      </c>
      <c r="N8" s="12" t="s">
        <v>47</v>
      </c>
      <c r="O8" s="69"/>
      <c r="P8" s="69"/>
      <c r="Q8" s="34" t="s">
        <v>49</v>
      </c>
    </row>
    <row r="9" spans="1:17" x14ac:dyDescent="0.25">
      <c r="A9" s="68" t="s">
        <v>46</v>
      </c>
      <c r="B9" s="12" t="s">
        <v>53</v>
      </c>
      <c r="C9" s="34" t="s">
        <v>49</v>
      </c>
      <c r="D9" s="69"/>
      <c r="E9" s="69"/>
      <c r="F9" s="12" t="s">
        <v>55</v>
      </c>
      <c r="G9" s="69"/>
      <c r="H9" s="69"/>
      <c r="I9" s="34" t="s">
        <v>49</v>
      </c>
      <c r="J9" s="12" t="s">
        <v>55</v>
      </c>
      <c r="K9" s="69"/>
      <c r="L9" s="69"/>
      <c r="M9" s="34" t="s">
        <v>49</v>
      </c>
      <c r="N9" s="69"/>
      <c r="O9" s="69"/>
      <c r="P9" s="69"/>
      <c r="Q9" s="69"/>
    </row>
    <row r="10" spans="1:17" x14ac:dyDescent="0.25">
      <c r="A10" s="68" t="s">
        <v>46</v>
      </c>
      <c r="B10" s="12" t="s">
        <v>56</v>
      </c>
      <c r="C10" s="69"/>
      <c r="D10" s="69"/>
      <c r="E10" s="34" t="s">
        <v>49</v>
      </c>
      <c r="F10" s="12" t="s">
        <v>56</v>
      </c>
      <c r="G10" s="69"/>
      <c r="H10" s="69"/>
      <c r="I10" s="34" t="s">
        <v>49</v>
      </c>
      <c r="J10" s="69"/>
      <c r="K10" s="69"/>
      <c r="L10" s="69"/>
      <c r="M10" s="69"/>
      <c r="N10" s="69"/>
      <c r="O10" s="69"/>
      <c r="P10" s="69"/>
      <c r="Q10" s="69"/>
    </row>
    <row r="11" spans="1:17" ht="6" customHeight="1" x14ac:dyDescent="0.25"/>
    <row r="12" spans="1:17" x14ac:dyDescent="0.25">
      <c r="A12" s="68" t="s">
        <v>57</v>
      </c>
      <c r="B12" s="12" t="s">
        <v>58</v>
      </c>
      <c r="C12" s="69"/>
      <c r="D12" s="69"/>
      <c r="E12" s="34" t="s">
        <v>49</v>
      </c>
      <c r="F12" s="12" t="s">
        <v>58</v>
      </c>
      <c r="G12" s="69"/>
      <c r="H12" s="69"/>
      <c r="I12" s="34" t="s">
        <v>49</v>
      </c>
      <c r="J12" s="12" t="s">
        <v>53</v>
      </c>
      <c r="K12" s="34" t="s">
        <v>49</v>
      </c>
      <c r="L12" s="69"/>
      <c r="M12" s="69"/>
      <c r="N12" s="12" t="s">
        <v>53</v>
      </c>
      <c r="O12" s="34" t="s">
        <v>49</v>
      </c>
      <c r="P12" s="69"/>
      <c r="Q12" s="69"/>
    </row>
    <row r="13" spans="1:17" ht="6" customHeight="1" x14ac:dyDescent="0.25"/>
    <row r="14" spans="1:17" x14ac:dyDescent="0.25">
      <c r="A14" s="68" t="s">
        <v>59</v>
      </c>
      <c r="B14" s="12" t="s">
        <v>60</v>
      </c>
      <c r="C14" s="69"/>
      <c r="D14" s="69"/>
      <c r="E14" s="34" t="s">
        <v>49</v>
      </c>
      <c r="F14" s="12" t="s">
        <v>61</v>
      </c>
      <c r="G14" s="69"/>
      <c r="H14" s="69"/>
      <c r="I14" s="34" t="s">
        <v>49</v>
      </c>
      <c r="J14" s="12" t="s">
        <v>62</v>
      </c>
      <c r="K14" s="69"/>
      <c r="L14" s="34" t="s">
        <v>49</v>
      </c>
      <c r="M14" s="69"/>
      <c r="N14" s="12" t="s">
        <v>60</v>
      </c>
      <c r="O14" s="69"/>
      <c r="P14" s="69"/>
      <c r="Q14" s="34" t="s">
        <v>49</v>
      </c>
    </row>
    <row r="15" spans="1:17" x14ac:dyDescent="0.25">
      <c r="A15" s="68" t="s">
        <v>64</v>
      </c>
      <c r="B15" s="12" t="s">
        <v>65</v>
      </c>
      <c r="C15" s="69"/>
      <c r="D15" s="34" t="s">
        <v>49</v>
      </c>
      <c r="E15" s="69"/>
      <c r="F15" s="12" t="s">
        <v>65</v>
      </c>
      <c r="G15" s="69"/>
      <c r="H15" s="34" t="s">
        <v>49</v>
      </c>
      <c r="I15" s="69"/>
      <c r="J15" s="12" t="s">
        <v>66</v>
      </c>
      <c r="K15" s="70" t="s">
        <v>67</v>
      </c>
      <c r="L15" s="69"/>
      <c r="M15" s="69"/>
      <c r="N15" s="12" t="s">
        <v>66</v>
      </c>
      <c r="O15" s="70" t="s">
        <v>67</v>
      </c>
      <c r="P15" s="69"/>
      <c r="Q15" s="69"/>
    </row>
    <row r="16" spans="1:17" x14ac:dyDescent="0.25">
      <c r="A16" s="68" t="s">
        <v>68</v>
      </c>
      <c r="B16" s="12" t="s">
        <v>69</v>
      </c>
      <c r="C16" s="69"/>
      <c r="D16" s="69"/>
      <c r="E16" s="34" t="s">
        <v>49</v>
      </c>
      <c r="F16" s="12" t="s">
        <v>69</v>
      </c>
      <c r="G16" s="69"/>
      <c r="H16" s="69"/>
      <c r="I16" s="34" t="s">
        <v>49</v>
      </c>
      <c r="J16" s="12" t="s">
        <v>69</v>
      </c>
      <c r="K16" s="69"/>
      <c r="L16" s="69"/>
      <c r="M16" s="34" t="s">
        <v>49</v>
      </c>
      <c r="N16" s="12" t="s">
        <v>70</v>
      </c>
      <c r="O16" s="69"/>
      <c r="P16" s="34" t="s">
        <v>49</v>
      </c>
      <c r="Q16" s="69"/>
    </row>
    <row r="17" spans="1:17" x14ac:dyDescent="0.25">
      <c r="A17" s="68" t="s">
        <v>71</v>
      </c>
      <c r="B17" s="12" t="s">
        <v>72</v>
      </c>
      <c r="C17" s="34" t="s">
        <v>49</v>
      </c>
      <c r="D17" s="69"/>
      <c r="E17" s="69"/>
      <c r="F17" s="12" t="s">
        <v>72</v>
      </c>
      <c r="G17" s="34" t="s">
        <v>49</v>
      </c>
      <c r="H17" s="69"/>
      <c r="I17" s="69"/>
      <c r="J17" s="12" t="s">
        <v>73</v>
      </c>
      <c r="K17" s="69"/>
      <c r="L17" s="69"/>
      <c r="M17" s="34" t="s">
        <v>49</v>
      </c>
      <c r="N17" s="12" t="s">
        <v>74</v>
      </c>
      <c r="O17" s="70" t="s">
        <v>67</v>
      </c>
      <c r="P17" s="69"/>
      <c r="Q17" s="69"/>
    </row>
    <row r="18" spans="1:17" x14ac:dyDescent="0.25">
      <c r="A18" s="68" t="s">
        <v>75</v>
      </c>
      <c r="B18" s="12" t="s">
        <v>76</v>
      </c>
      <c r="C18" s="70" t="s">
        <v>67</v>
      </c>
      <c r="D18" s="69"/>
      <c r="E18" s="69"/>
      <c r="F18" s="12" t="s">
        <v>77</v>
      </c>
      <c r="G18" s="69"/>
      <c r="H18" s="69"/>
      <c r="I18" s="34" t="s">
        <v>49</v>
      </c>
      <c r="J18" s="12" t="s">
        <v>78</v>
      </c>
      <c r="K18" s="69"/>
      <c r="L18" s="69"/>
      <c r="M18" s="34" t="s">
        <v>49</v>
      </c>
      <c r="N18" s="12" t="s">
        <v>78</v>
      </c>
      <c r="O18" s="69"/>
      <c r="P18" s="69"/>
      <c r="Q18" s="71" t="s">
        <v>187</v>
      </c>
    </row>
    <row r="19" spans="1:17" ht="6" customHeight="1" x14ac:dyDescent="0.25"/>
    <row r="20" spans="1:17" x14ac:dyDescent="0.25">
      <c r="A20" s="68" t="s">
        <v>79</v>
      </c>
      <c r="B20" s="12" t="s">
        <v>80</v>
      </c>
      <c r="C20" s="69"/>
      <c r="D20" s="70" t="s">
        <v>67</v>
      </c>
      <c r="E20" s="69"/>
      <c r="F20" s="12" t="s">
        <v>80</v>
      </c>
      <c r="G20" s="69"/>
      <c r="H20" s="70" t="s">
        <v>67</v>
      </c>
      <c r="I20" s="69"/>
      <c r="J20" s="12" t="s">
        <v>80</v>
      </c>
      <c r="K20" s="69"/>
      <c r="L20" s="70" t="s">
        <v>67</v>
      </c>
      <c r="M20" s="69"/>
      <c r="N20" s="12" t="s">
        <v>80</v>
      </c>
      <c r="O20" s="69"/>
      <c r="P20" s="70" t="s">
        <v>67</v>
      </c>
      <c r="Q20" s="69"/>
    </row>
    <row r="21" spans="1:17" x14ac:dyDescent="0.25">
      <c r="A21" s="68" t="s">
        <v>81</v>
      </c>
      <c r="B21" s="12" t="s">
        <v>82</v>
      </c>
      <c r="C21" s="69"/>
      <c r="D21" s="70" t="s">
        <v>67</v>
      </c>
      <c r="E21" s="69"/>
      <c r="F21" s="12" t="s">
        <v>82</v>
      </c>
      <c r="G21" s="69"/>
      <c r="H21" s="70" t="s">
        <v>67</v>
      </c>
      <c r="I21" s="69"/>
      <c r="J21" s="12" t="s">
        <v>82</v>
      </c>
      <c r="K21" s="69"/>
      <c r="L21" s="70" t="s">
        <v>67</v>
      </c>
      <c r="M21" s="69"/>
      <c r="N21" s="12" t="s">
        <v>82</v>
      </c>
      <c r="O21" s="69"/>
      <c r="P21" s="70" t="s">
        <v>67</v>
      </c>
      <c r="Q21" s="69"/>
    </row>
    <row r="22" spans="1:17" x14ac:dyDescent="0.25">
      <c r="A22" s="68" t="s">
        <v>83</v>
      </c>
      <c r="B22" s="12" t="s">
        <v>84</v>
      </c>
      <c r="C22" s="69"/>
      <c r="D22" s="69"/>
      <c r="E22" s="34" t="s">
        <v>49</v>
      </c>
      <c r="F22" s="12" t="s">
        <v>84</v>
      </c>
      <c r="G22" s="69"/>
      <c r="H22" s="69"/>
      <c r="I22" s="34" t="s">
        <v>49</v>
      </c>
      <c r="J22" s="12" t="s">
        <v>85</v>
      </c>
      <c r="K22" s="69"/>
      <c r="L22" s="34" t="s">
        <v>49</v>
      </c>
      <c r="M22" s="69"/>
      <c r="N22" s="12" t="s">
        <v>86</v>
      </c>
      <c r="O22" s="34" t="s">
        <v>49</v>
      </c>
      <c r="P22" s="69"/>
      <c r="Q22" s="69"/>
    </row>
    <row r="23" spans="1:17" x14ac:dyDescent="0.25">
      <c r="A23" s="68" t="s">
        <v>83</v>
      </c>
      <c r="B23" s="12" t="s">
        <v>87</v>
      </c>
      <c r="C23" s="69"/>
      <c r="D23" s="34" t="s">
        <v>49</v>
      </c>
      <c r="E23" s="69"/>
      <c r="F23" s="69"/>
      <c r="G23" s="69"/>
      <c r="H23" s="69"/>
      <c r="I23" s="69"/>
      <c r="J23" s="12" t="s">
        <v>88</v>
      </c>
      <c r="K23" s="69"/>
      <c r="L23" s="34" t="s">
        <v>49</v>
      </c>
      <c r="M23" s="69"/>
      <c r="N23" s="12" t="s">
        <v>88</v>
      </c>
      <c r="O23" s="69"/>
      <c r="P23" s="34" t="s">
        <v>49</v>
      </c>
      <c r="Q23" s="69"/>
    </row>
    <row r="24" spans="1:17" x14ac:dyDescent="0.25">
      <c r="A24" s="68" t="s">
        <v>83</v>
      </c>
      <c r="B24" s="12" t="s">
        <v>89</v>
      </c>
      <c r="C24" s="69"/>
      <c r="D24" s="34" t="s">
        <v>49</v>
      </c>
      <c r="E24" s="69"/>
      <c r="F24" s="69"/>
      <c r="G24" s="69"/>
      <c r="H24" s="69"/>
      <c r="I24" s="69"/>
      <c r="J24" s="12" t="s">
        <v>90</v>
      </c>
      <c r="K24" s="69"/>
      <c r="L24" s="34" t="s">
        <v>49</v>
      </c>
      <c r="M24" s="69"/>
      <c r="N24" s="69"/>
      <c r="O24" s="69"/>
      <c r="P24" s="69"/>
      <c r="Q24" s="69"/>
    </row>
    <row r="25" spans="1:17" ht="6" customHeight="1" x14ac:dyDescent="0.25"/>
    <row r="26" spans="1:17" x14ac:dyDescent="0.25">
      <c r="A26" s="68" t="s">
        <v>91</v>
      </c>
      <c r="B26" s="12" t="s">
        <v>80</v>
      </c>
      <c r="C26" s="69"/>
      <c r="D26" s="70" t="s">
        <v>67</v>
      </c>
      <c r="E26" s="69"/>
      <c r="F26" s="12" t="s">
        <v>92</v>
      </c>
      <c r="G26" s="69"/>
      <c r="H26" s="34" t="s">
        <v>49</v>
      </c>
      <c r="I26" s="69"/>
      <c r="J26" s="12" t="s">
        <v>93</v>
      </c>
      <c r="K26" s="69"/>
      <c r="L26" s="34" t="s">
        <v>49</v>
      </c>
      <c r="M26" s="69"/>
      <c r="N26" s="12" t="s">
        <v>93</v>
      </c>
      <c r="O26" s="69"/>
      <c r="P26" s="34" t="s">
        <v>49</v>
      </c>
      <c r="Q26" s="69"/>
    </row>
    <row r="27" spans="1:17" x14ac:dyDescent="0.25">
      <c r="A27" s="68" t="s">
        <v>94</v>
      </c>
      <c r="B27" s="12" t="s">
        <v>95</v>
      </c>
      <c r="C27" s="34" t="s">
        <v>49</v>
      </c>
      <c r="D27" s="69"/>
      <c r="E27" s="69"/>
      <c r="F27" s="12" t="s">
        <v>95</v>
      </c>
      <c r="G27" s="34" t="s">
        <v>49</v>
      </c>
      <c r="H27" s="69"/>
      <c r="I27" s="69"/>
      <c r="J27" s="12" t="s">
        <v>95</v>
      </c>
      <c r="K27" s="34" t="s">
        <v>49</v>
      </c>
      <c r="L27" s="69"/>
      <c r="M27" s="69"/>
      <c r="N27" s="12" t="s">
        <v>95</v>
      </c>
      <c r="O27" s="34" t="s">
        <v>49</v>
      </c>
      <c r="P27" s="69"/>
      <c r="Q27" s="69"/>
    </row>
    <row r="28" spans="1:17" x14ac:dyDescent="0.25">
      <c r="A28" s="68" t="s">
        <v>94</v>
      </c>
      <c r="B28" s="12" t="s">
        <v>96</v>
      </c>
      <c r="C28" s="34" t="s">
        <v>49</v>
      </c>
      <c r="D28" s="69"/>
      <c r="E28" s="69"/>
      <c r="F28" s="12" t="s">
        <v>96</v>
      </c>
      <c r="G28" s="34" t="s">
        <v>49</v>
      </c>
      <c r="H28" s="69"/>
      <c r="I28" s="69"/>
      <c r="J28" s="12" t="s">
        <v>97</v>
      </c>
      <c r="K28" s="34" t="s">
        <v>49</v>
      </c>
      <c r="L28" s="69"/>
      <c r="M28" s="69"/>
      <c r="N28" s="12" t="s">
        <v>97</v>
      </c>
      <c r="O28" s="34" t="s">
        <v>49</v>
      </c>
      <c r="P28" s="69"/>
      <c r="Q28" s="69"/>
    </row>
    <row r="29" spans="1:17" ht="6" customHeight="1" x14ac:dyDescent="0.25"/>
    <row r="30" spans="1:17" x14ac:dyDescent="0.25">
      <c r="A30" s="68" t="s">
        <v>98</v>
      </c>
      <c r="B30" s="12" t="s">
        <v>99</v>
      </c>
      <c r="C30" s="69"/>
      <c r="D30" s="69"/>
      <c r="E30" s="34" t="s">
        <v>49</v>
      </c>
      <c r="F30" s="12" t="s">
        <v>99</v>
      </c>
      <c r="G30" s="69"/>
      <c r="H30" s="69"/>
      <c r="I30" s="34" t="s">
        <v>49</v>
      </c>
      <c r="J30" s="12" t="s">
        <v>100</v>
      </c>
      <c r="K30" s="69"/>
      <c r="L30" s="34" t="s">
        <v>49</v>
      </c>
      <c r="M30" s="69"/>
      <c r="N30" s="12" t="s">
        <v>101</v>
      </c>
      <c r="O30" s="34" t="s">
        <v>49</v>
      </c>
      <c r="P30" s="69"/>
      <c r="Q30" s="69"/>
    </row>
    <row r="31" spans="1:17" x14ac:dyDescent="0.25">
      <c r="A31" s="68" t="s">
        <v>98</v>
      </c>
      <c r="B31" s="12" t="s">
        <v>102</v>
      </c>
      <c r="C31" s="69"/>
      <c r="D31" s="34" t="s">
        <v>49</v>
      </c>
      <c r="E31" s="69"/>
      <c r="F31" s="12" t="s">
        <v>102</v>
      </c>
      <c r="G31" s="69"/>
      <c r="H31" s="34" t="s">
        <v>49</v>
      </c>
      <c r="I31" s="69"/>
      <c r="J31" s="12" t="s">
        <v>102</v>
      </c>
      <c r="K31" s="69"/>
      <c r="L31" s="34" t="s">
        <v>49</v>
      </c>
      <c r="M31" s="69"/>
      <c r="N31" s="12" t="s">
        <v>102</v>
      </c>
      <c r="O31" s="69"/>
      <c r="P31" s="34" t="s">
        <v>49</v>
      </c>
      <c r="Q31" s="69"/>
    </row>
    <row r="32" spans="1:17" x14ac:dyDescent="0.25">
      <c r="A32" s="68" t="s">
        <v>98</v>
      </c>
      <c r="B32" s="12" t="s">
        <v>103</v>
      </c>
      <c r="C32" s="69"/>
      <c r="D32" s="34" t="s">
        <v>49</v>
      </c>
      <c r="E32" s="69"/>
      <c r="F32" s="12" t="s">
        <v>103</v>
      </c>
      <c r="G32" s="69"/>
      <c r="H32" s="34" t="s">
        <v>49</v>
      </c>
      <c r="I32" s="69"/>
      <c r="J32" s="12" t="s">
        <v>103</v>
      </c>
      <c r="K32" s="69"/>
      <c r="L32" s="34" t="s">
        <v>49</v>
      </c>
      <c r="M32" s="69"/>
      <c r="N32" s="12" t="s">
        <v>104</v>
      </c>
      <c r="O32" s="69"/>
      <c r="P32" s="69"/>
      <c r="Q32" s="34" t="s">
        <v>49</v>
      </c>
    </row>
    <row r="33" spans="1:17" x14ac:dyDescent="0.25">
      <c r="A33" s="68" t="s">
        <v>98</v>
      </c>
      <c r="B33" s="12" t="s">
        <v>105</v>
      </c>
      <c r="C33" s="34" t="s">
        <v>49</v>
      </c>
      <c r="D33" s="69"/>
      <c r="E33" s="69"/>
      <c r="F33" s="12" t="s">
        <v>105</v>
      </c>
      <c r="G33" s="34" t="s">
        <v>49</v>
      </c>
      <c r="H33" s="69"/>
      <c r="I33" s="69"/>
      <c r="J33" s="12" t="s">
        <v>104</v>
      </c>
      <c r="K33" s="69"/>
      <c r="L33" s="69"/>
      <c r="M33" s="34" t="s">
        <v>49</v>
      </c>
      <c r="N33" s="12" t="s">
        <v>106</v>
      </c>
      <c r="O33" s="69"/>
      <c r="P33" s="69"/>
      <c r="Q33" s="34" t="s">
        <v>49</v>
      </c>
    </row>
    <row r="34" spans="1:17" x14ac:dyDescent="0.25">
      <c r="A34" s="68" t="s">
        <v>98</v>
      </c>
      <c r="B34" s="12" t="s">
        <v>107</v>
      </c>
      <c r="C34" s="34" t="s">
        <v>49</v>
      </c>
      <c r="D34" s="69"/>
      <c r="E34" s="69"/>
      <c r="F34" s="12" t="s">
        <v>107</v>
      </c>
      <c r="G34" s="34" t="s">
        <v>49</v>
      </c>
      <c r="H34" s="69"/>
      <c r="I34" s="69"/>
      <c r="J34" s="12" t="s">
        <v>106</v>
      </c>
      <c r="K34" s="69"/>
      <c r="L34" s="69"/>
      <c r="M34" s="34" t="s">
        <v>49</v>
      </c>
      <c r="N34" s="12" t="s">
        <v>107</v>
      </c>
      <c r="O34" s="34" t="s">
        <v>49</v>
      </c>
      <c r="P34" s="69"/>
      <c r="Q34" s="69"/>
    </row>
    <row r="35" spans="1:17" x14ac:dyDescent="0.25">
      <c r="A35" s="68" t="s">
        <v>98</v>
      </c>
      <c r="B35" s="12" t="s">
        <v>108</v>
      </c>
      <c r="C35" s="34" t="s">
        <v>49</v>
      </c>
      <c r="D35" s="69"/>
      <c r="E35" s="69"/>
      <c r="F35" s="12" t="s">
        <v>108</v>
      </c>
      <c r="G35" s="34" t="s">
        <v>49</v>
      </c>
      <c r="H35" s="69"/>
      <c r="I35" s="69"/>
      <c r="J35" s="12" t="s">
        <v>108</v>
      </c>
      <c r="K35" s="34" t="s">
        <v>49</v>
      </c>
      <c r="L35" s="69"/>
      <c r="M35" s="69"/>
      <c r="N35" s="12" t="s">
        <v>109</v>
      </c>
      <c r="O35" s="69"/>
      <c r="P35" s="69"/>
      <c r="Q35" s="34" t="s">
        <v>49</v>
      </c>
    </row>
    <row r="36" spans="1:17" x14ac:dyDescent="0.25">
      <c r="A36" s="68" t="s">
        <v>98</v>
      </c>
      <c r="B36" s="12" t="s">
        <v>110</v>
      </c>
      <c r="C36" s="69"/>
      <c r="D36" s="34" t="s">
        <v>49</v>
      </c>
      <c r="E36" s="69"/>
      <c r="F36" s="69"/>
      <c r="G36" s="69"/>
      <c r="H36" s="69"/>
      <c r="I36" s="69"/>
      <c r="J36" s="12" t="s">
        <v>110</v>
      </c>
      <c r="K36" s="69"/>
      <c r="L36" s="34" t="s">
        <v>49</v>
      </c>
      <c r="M36" s="69"/>
      <c r="N36" s="12" t="s">
        <v>111</v>
      </c>
      <c r="O36" s="69"/>
      <c r="P36" s="69"/>
      <c r="Q36" s="34" t="s">
        <v>49</v>
      </c>
    </row>
    <row r="37" spans="1:17" x14ac:dyDescent="0.25">
      <c r="A37" s="68" t="s">
        <v>98</v>
      </c>
      <c r="B37" s="12" t="s">
        <v>111</v>
      </c>
      <c r="C37" s="69"/>
      <c r="D37" s="69"/>
      <c r="E37" s="34" t="s">
        <v>49</v>
      </c>
      <c r="F37" s="69"/>
      <c r="G37" s="69"/>
      <c r="H37" s="69"/>
      <c r="I37" s="69"/>
      <c r="J37" s="12" t="s">
        <v>111</v>
      </c>
      <c r="K37" s="69"/>
      <c r="L37" s="69"/>
      <c r="M37" s="34" t="s">
        <v>49</v>
      </c>
      <c r="N37" s="69"/>
      <c r="O37" s="69"/>
      <c r="P37" s="69"/>
      <c r="Q37" s="69"/>
    </row>
    <row r="38" spans="1:17" x14ac:dyDescent="0.25">
      <c r="A38" s="68" t="s">
        <v>98</v>
      </c>
      <c r="B38" s="12" t="s">
        <v>109</v>
      </c>
      <c r="C38" s="69"/>
      <c r="D38" s="69"/>
      <c r="E38" s="34" t="s">
        <v>49</v>
      </c>
      <c r="F38" s="69"/>
      <c r="G38" s="69"/>
      <c r="H38" s="69"/>
      <c r="I38" s="69"/>
      <c r="J38" s="12" t="s">
        <v>96</v>
      </c>
      <c r="K38" s="34" t="s">
        <v>49</v>
      </c>
      <c r="L38" s="69"/>
      <c r="M38" s="69"/>
      <c r="N38" s="69"/>
      <c r="O38" s="69"/>
      <c r="P38" s="69"/>
      <c r="Q38" s="69"/>
    </row>
    <row r="39" spans="1:17" x14ac:dyDescent="0.25">
      <c r="A39" s="68" t="s">
        <v>98</v>
      </c>
      <c r="B39" s="12" t="s">
        <v>73</v>
      </c>
      <c r="C39" s="69"/>
      <c r="D39" s="69"/>
      <c r="E39" s="34" t="s">
        <v>49</v>
      </c>
      <c r="F39" s="69"/>
      <c r="G39" s="69"/>
      <c r="H39" s="69"/>
      <c r="I39" s="69"/>
      <c r="J39" s="12" t="s">
        <v>76</v>
      </c>
      <c r="K39" s="69"/>
      <c r="L39" s="69"/>
      <c r="M39" s="70" t="s">
        <v>67</v>
      </c>
      <c r="N39" s="69"/>
      <c r="O39" s="69"/>
      <c r="P39" s="69"/>
      <c r="Q39" s="69"/>
    </row>
    <row r="40" spans="1:17" x14ac:dyDescent="0.25">
      <c r="A40" s="68" t="s">
        <v>98</v>
      </c>
      <c r="B40" s="12" t="s">
        <v>92</v>
      </c>
      <c r="C40" s="69"/>
      <c r="D40" s="34" t="s">
        <v>49</v>
      </c>
      <c r="E40" s="69"/>
      <c r="F40" s="69"/>
      <c r="G40" s="69"/>
      <c r="H40" s="69"/>
      <c r="I40" s="69"/>
      <c r="J40" s="12" t="s">
        <v>74</v>
      </c>
      <c r="K40" s="70" t="s">
        <v>67</v>
      </c>
      <c r="L40" s="69"/>
      <c r="M40" s="69"/>
      <c r="N40" s="69"/>
      <c r="O40" s="69"/>
      <c r="P40" s="69"/>
      <c r="Q40" s="69"/>
    </row>
    <row r="42" spans="1:17" x14ac:dyDescent="0.25">
      <c r="A42" s="72" t="s">
        <v>188</v>
      </c>
      <c r="B42" s="73"/>
      <c r="C42" s="73">
        <f>COUNTIF(C8:C40,"x")</f>
        <v>7</v>
      </c>
      <c r="D42" s="73">
        <f>COUNTIF(D8:D40,"x")</f>
        <v>7</v>
      </c>
      <c r="E42" s="73">
        <f>COUNTIF(E8:E40,"x")</f>
        <v>10</v>
      </c>
      <c r="F42" s="73"/>
      <c r="G42" s="73">
        <f>COUNTIF(G8:G40,"x")</f>
        <v>6</v>
      </c>
      <c r="H42" s="73">
        <f>COUNTIF(H8:H40,"x")</f>
        <v>4</v>
      </c>
      <c r="I42" s="73">
        <f>COUNTIF(I8:I40,"x")</f>
        <v>9</v>
      </c>
      <c r="J42" s="73"/>
      <c r="K42" s="73">
        <f>COUNTIF(K8:K40,"x")</f>
        <v>5</v>
      </c>
      <c r="L42" s="73">
        <f>COUNTIF(L8:L40,"x")</f>
        <v>9</v>
      </c>
      <c r="M42" s="73">
        <f>COUNTIF(M8:M40,"x")</f>
        <v>8</v>
      </c>
      <c r="N42" s="73"/>
      <c r="O42" s="73">
        <f>COUNTIF(O8:O40,"x")</f>
        <v>6</v>
      </c>
      <c r="P42" s="73">
        <f>COUNTIF(P8:P40,"x")</f>
        <v>4</v>
      </c>
      <c r="Q42" s="73">
        <f>COUNTIF(Q8:Q40,"x")</f>
        <v>6</v>
      </c>
    </row>
    <row r="43" spans="1:17" x14ac:dyDescent="0.25">
      <c r="A43" s="74" t="s">
        <v>189</v>
      </c>
      <c r="B43" s="75"/>
      <c r="C43" s="75">
        <v>7</v>
      </c>
      <c r="D43" s="75">
        <v>7</v>
      </c>
      <c r="E43" s="75">
        <v>10</v>
      </c>
      <c r="F43" s="75"/>
      <c r="G43" s="75">
        <v>6</v>
      </c>
      <c r="H43" s="75">
        <v>4</v>
      </c>
      <c r="I43" s="75">
        <v>9</v>
      </c>
      <c r="J43" s="75"/>
      <c r="K43" s="75">
        <v>5</v>
      </c>
      <c r="L43" s="75">
        <v>9</v>
      </c>
      <c r="M43" s="75">
        <v>8</v>
      </c>
      <c r="N43" s="75"/>
      <c r="O43" s="75">
        <v>6</v>
      </c>
      <c r="P43" s="75">
        <v>4</v>
      </c>
      <c r="Q43" s="75">
        <v>6</v>
      </c>
    </row>
    <row r="44" spans="1:17" x14ac:dyDescent="0.25">
      <c r="A44" s="76" t="s">
        <v>190</v>
      </c>
      <c r="B44" s="77"/>
      <c r="C44" s="77">
        <f>C42-C43</f>
        <v>0</v>
      </c>
      <c r="D44" s="77">
        <f>D42-D43</f>
        <v>0</v>
      </c>
      <c r="E44" s="77">
        <f>E42-E43</f>
        <v>0</v>
      </c>
      <c r="F44" s="77"/>
      <c r="G44" s="77">
        <f>G42-G43</f>
        <v>0</v>
      </c>
      <c r="H44" s="77">
        <f>H42-H43</f>
        <v>0</v>
      </c>
      <c r="I44" s="77">
        <f>I42-I43</f>
        <v>0</v>
      </c>
      <c r="J44" s="77"/>
      <c r="K44" s="77">
        <f>K42-K43</f>
        <v>0</v>
      </c>
      <c r="L44" s="77">
        <f>L42-L43</f>
        <v>0</v>
      </c>
      <c r="M44" s="77">
        <f>M42-M43</f>
        <v>0</v>
      </c>
      <c r="N44" s="77"/>
      <c r="O44" s="77">
        <f>O42-O43</f>
        <v>0</v>
      </c>
      <c r="P44" s="77">
        <f>P42-P43</f>
        <v>0</v>
      </c>
      <c r="Q44" s="77">
        <f>Q42-Q43</f>
        <v>0</v>
      </c>
    </row>
    <row r="46" spans="1:17" x14ac:dyDescent="0.25">
      <c r="A46" s="72" t="s">
        <v>191</v>
      </c>
      <c r="B46" s="73"/>
      <c r="C46" s="73">
        <f>COUNTIFS(Zuteilungen!$A$2:$A$200,"E1",Zuteilungen!$E$2:$E$200,Stammdaten!$A$14,Zuteilungen!$F$2:$F$200,"x")</f>
        <v>7</v>
      </c>
      <c r="D46" s="73">
        <f>COUNTIFS(Zuteilungen!$A$2:$A$200,"E1",Zuteilungen!$E$2:$E$200,Stammdaten!$A$15,Zuteilungen!$F$2:$F$200,"x")</f>
        <v>7</v>
      </c>
      <c r="E46" s="73">
        <f>COUNTIFS(Zuteilungen!$A$2:$A$200,"E1",Zuteilungen!$E$2:$E$200,Stammdaten!$A$16,Zuteilungen!$F$2:$F$200,"x")</f>
        <v>10</v>
      </c>
      <c r="F46" s="73"/>
      <c r="G46" s="73">
        <f>COUNTIFS(Zuteilungen!$A$2:$A$200,"E2",Zuteilungen!$E$2:$E$200,Stammdaten!$A$14,Zuteilungen!$F$2:$F$200,"x")</f>
        <v>6</v>
      </c>
      <c r="H46" s="73">
        <f>COUNTIFS(Zuteilungen!$A$2:$A$200,"E2",Zuteilungen!$E$2:$E$200,Stammdaten!$A$15,Zuteilungen!$F$2:$F$200,"x")</f>
        <v>4</v>
      </c>
      <c r="I46" s="73">
        <f>COUNTIFS(Zuteilungen!$A$2:$A$200,"E2",Zuteilungen!$E$2:$E$200,Stammdaten!$A$16,Zuteilungen!$F$2:$F$200,"x")</f>
        <v>9</v>
      </c>
      <c r="J46" s="73"/>
      <c r="K46" s="73">
        <f>COUNTIFS(Zuteilungen!$A$2:$A$200,"E3",Zuteilungen!$E$2:$E$200,Stammdaten!$A$14,Zuteilungen!$F$2:$F$200,"x")</f>
        <v>5</v>
      </c>
      <c r="L46" s="73">
        <f>COUNTIFS(Zuteilungen!$A$2:$A$200,"E3",Zuteilungen!$E$2:$E$200,Stammdaten!$A$15,Zuteilungen!$F$2:$F$200,"x")</f>
        <v>9</v>
      </c>
      <c r="M46" s="73">
        <f>COUNTIFS(Zuteilungen!$A$2:$A$200,"E3",Zuteilungen!$E$2:$E$200,Stammdaten!$A$16,Zuteilungen!$F$2:$F$200,"x")</f>
        <v>8</v>
      </c>
      <c r="N46" s="73"/>
      <c r="O46" s="73">
        <f>COUNTIFS(Zuteilungen!$A$2:$A$200,"E4",Zuteilungen!$E$2:$E$200,Stammdaten!$A$14,Zuteilungen!$F$2:$F$200,"x")</f>
        <v>6</v>
      </c>
      <c r="P46" s="73">
        <f>COUNTIFS(Zuteilungen!$A$2:$A$200,"E4",Zuteilungen!$E$2:$E$200,Stammdaten!$A$15,Zuteilungen!$F$2:$F$200,"x")</f>
        <v>4</v>
      </c>
      <c r="Q46" s="73">
        <f>COUNTIFS(Zuteilungen!$A$2:$A$200,"E4",Zuteilungen!$E$2:$E$200,Stammdaten!$A$16,Zuteilungen!$F$2:$F$200,"x")</f>
        <v>7</v>
      </c>
    </row>
    <row r="48" spans="1:17" x14ac:dyDescent="0.25">
      <c r="A48" s="7" t="s">
        <v>192</v>
      </c>
    </row>
    <row r="49" spans="1:1" x14ac:dyDescent="0.25">
      <c r="A49" s="7" t="s">
        <v>193</v>
      </c>
    </row>
  </sheetData>
  <mergeCells count="12">
    <mergeCell ref="B6:E6"/>
    <mergeCell ref="F6:I6"/>
    <mergeCell ref="J6:M6"/>
    <mergeCell ref="N6:Q6"/>
    <mergeCell ref="B4:E4"/>
    <mergeCell ref="F4:I4"/>
    <mergeCell ref="J4:M4"/>
    <mergeCell ref="N4:Q4"/>
    <mergeCell ref="B5:E5"/>
    <mergeCell ref="F5:I5"/>
    <mergeCell ref="J5:M5"/>
    <mergeCell ref="N5:Q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00"/>
  <sheetViews>
    <sheetView zoomScaleNormal="100" workbookViewId="0">
      <pane ySplit="1" topLeftCell="A86" activePane="bottomLeft" state="frozen"/>
      <selection pane="bottomLeft" activeCell="K36" sqref="K36"/>
    </sheetView>
  </sheetViews>
  <sheetFormatPr baseColWidth="10" defaultColWidth="8.7109375" defaultRowHeight="15" x14ac:dyDescent="0.25"/>
  <cols>
    <col min="1" max="1" width="11" customWidth="1"/>
    <col min="2" max="2" width="12" customWidth="1"/>
    <col min="3" max="3" width="17" customWidth="1"/>
    <col min="4" max="4" width="24" customWidth="1"/>
    <col min="5" max="5" width="19" customWidth="1"/>
    <col min="6" max="6" width="9" customWidth="1"/>
    <col min="7" max="7" width="15" customWidth="1"/>
    <col min="8" max="8" width="11" customWidth="1"/>
    <col min="9" max="9" width="46" customWidth="1"/>
    <col min="10" max="10" width="9" hidden="1" customWidth="1"/>
  </cols>
  <sheetData>
    <row r="1" spans="1:10" ht="30" customHeight="1" x14ac:dyDescent="0.25">
      <c r="A1" s="11" t="s">
        <v>36</v>
      </c>
      <c r="B1" s="11" t="s">
        <v>8</v>
      </c>
      <c r="C1" s="11" t="s">
        <v>37</v>
      </c>
      <c r="D1" s="11" t="s">
        <v>38</v>
      </c>
      <c r="E1" s="11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</row>
    <row r="2" spans="1:10" x14ac:dyDescent="0.25">
      <c r="A2" s="30" t="s">
        <v>45</v>
      </c>
      <c r="B2" s="16">
        <f>IF($A2="","",IFERROR(INDEX(Stammdaten!$B$4:$B$9,MATCH($A2,Stammdaten!$A$4:$A$9,0)),""))</f>
        <v>46130</v>
      </c>
      <c r="C2" s="15" t="s">
        <v>46</v>
      </c>
      <c r="D2" s="15" t="s">
        <v>47</v>
      </c>
      <c r="E2" s="15" t="s">
        <v>48</v>
      </c>
      <c r="F2" s="30" t="s">
        <v>49</v>
      </c>
      <c r="G2" s="31"/>
      <c r="H2" s="32">
        <f>IF($D2="","",IF($F2="",0,IF($G2&lt;&gt;"",$G2,IFERROR(INDEX(Stammdaten!$G$4:$G$9,MATCH($A2,Stammdaten!$A$4:$A$9,0)),0))))</f>
        <v>5</v>
      </c>
      <c r="I2" s="33"/>
      <c r="J2" s="15" t="str">
        <f>IF(AND($D2&lt;&gt;"",$I2&lt;&gt;""),COUNTIFS($D$2:$D2,"&lt;&gt;",$I$2:$I2,"&lt;&gt;"),"")</f>
        <v/>
      </c>
    </row>
    <row r="3" spans="1:10" x14ac:dyDescent="0.25">
      <c r="A3" s="34" t="s">
        <v>50</v>
      </c>
      <c r="B3" s="13">
        <f>IF($A3="","",IFERROR(INDEX(Stammdaten!$B$4:$B$9,MATCH($A3,Stammdaten!$A$4:$A$9,0)),""))</f>
        <v>46130</v>
      </c>
      <c r="C3" s="12" t="s">
        <v>46</v>
      </c>
      <c r="D3" s="12" t="s">
        <v>47</v>
      </c>
      <c r="E3" s="12" t="s">
        <v>48</v>
      </c>
      <c r="F3" s="34" t="s">
        <v>49</v>
      </c>
      <c r="G3" s="35"/>
      <c r="H3" s="36">
        <f>IF($D3="","",IF($F3="",0,IF($G3&lt;&gt;"",$G3,IFERROR(INDEX(Stammdaten!$G$4:$G$9,MATCH($A3,Stammdaten!$A$4:$A$9,0)),0))))</f>
        <v>5</v>
      </c>
      <c r="I3" s="33"/>
      <c r="J3" s="12" t="str">
        <f>IF(AND($D3&lt;&gt;"",$I3&lt;&gt;""),COUNTIFS($D$2:$D3,"&lt;&gt;",$I$2:$I3,"&lt;&gt;"),"")</f>
        <v/>
      </c>
    </row>
    <row r="4" spans="1:10" x14ac:dyDescent="0.25">
      <c r="A4" s="30" t="s">
        <v>51</v>
      </c>
      <c r="B4" s="16">
        <f>IF($A4="","",IFERROR(INDEX(Stammdaten!$B$4:$B$9,MATCH($A4,Stammdaten!$A$4:$A$9,0)),""))</f>
        <v>46131</v>
      </c>
      <c r="C4" s="15" t="s">
        <v>46</v>
      </c>
      <c r="D4" s="15" t="s">
        <v>47</v>
      </c>
      <c r="E4" s="15" t="s">
        <v>48</v>
      </c>
      <c r="F4" s="30" t="s">
        <v>49</v>
      </c>
      <c r="G4" s="31"/>
      <c r="H4" s="32">
        <f>IF($D4="","",IF($F4="",0,IF($G4&lt;&gt;"",$G4,IFERROR(INDEX(Stammdaten!$G$4:$G$9,MATCH($A4,Stammdaten!$A$4:$A$9,0)),0))))</f>
        <v>3</v>
      </c>
      <c r="I4" s="33"/>
      <c r="J4" s="15" t="str">
        <f>IF(AND($D4&lt;&gt;"",$I4&lt;&gt;""),COUNTIFS($D$2:$D4,"&lt;&gt;",$I$2:$I4,"&lt;&gt;"),"")</f>
        <v/>
      </c>
    </row>
    <row r="5" spans="1:10" x14ac:dyDescent="0.25">
      <c r="A5" s="34" t="s">
        <v>52</v>
      </c>
      <c r="B5" s="13">
        <f>IF($A5="","",IFERROR(INDEX(Stammdaten!$B$4:$B$9,MATCH($A5,Stammdaten!$A$4:$A$9,0)),""))</f>
        <v>46137</v>
      </c>
      <c r="C5" s="12" t="s">
        <v>46</v>
      </c>
      <c r="D5" s="12" t="s">
        <v>47</v>
      </c>
      <c r="E5" s="12" t="s">
        <v>48</v>
      </c>
      <c r="F5" s="34" t="s">
        <v>49</v>
      </c>
      <c r="G5" s="35"/>
      <c r="H5" s="36">
        <f>IF($D5="","",IF($F5="",0,IF($G5&lt;&gt;"",$G5,IFERROR(INDEX(Stammdaten!$G$4:$G$9,MATCH($A5,Stammdaten!$A$4:$A$9,0)),0))))</f>
        <v>5</v>
      </c>
      <c r="I5" s="33"/>
      <c r="J5" s="12" t="str">
        <f>IF(AND($D5&lt;&gt;"",$I5&lt;&gt;""),COUNTIFS($D$2:$D5,"&lt;&gt;",$I$2:$I5,"&lt;&gt;"),"")</f>
        <v/>
      </c>
    </row>
    <row r="6" spans="1:10" x14ac:dyDescent="0.25">
      <c r="A6" s="30" t="s">
        <v>45</v>
      </c>
      <c r="B6" s="16">
        <f>IF($A6="","",IFERROR(INDEX(Stammdaten!$B$4:$B$9,MATCH($A6,Stammdaten!$A$4:$A$9,0)),""))</f>
        <v>46130</v>
      </c>
      <c r="C6" s="15" t="s">
        <v>46</v>
      </c>
      <c r="D6" s="15" t="s">
        <v>53</v>
      </c>
      <c r="E6" s="15" t="s">
        <v>54</v>
      </c>
      <c r="F6" s="30" t="s">
        <v>49</v>
      </c>
      <c r="G6" s="31"/>
      <c r="H6" s="32">
        <f>IF($D6="","",IF($F6="",0,IF($G6&lt;&gt;"",$G6,IFERROR(INDEX(Stammdaten!$G$4:$G$9,MATCH($A6,Stammdaten!$A$4:$A$9,0)),0))))</f>
        <v>5</v>
      </c>
      <c r="I6" s="33"/>
      <c r="J6" s="15" t="str">
        <f>IF(AND($D6&lt;&gt;"",$I6&lt;&gt;""),COUNTIFS($D$2:$D6,"&lt;&gt;",$I$2:$I6,"&lt;&gt;"),"")</f>
        <v/>
      </c>
    </row>
    <row r="7" spans="1:10" x14ac:dyDescent="0.25">
      <c r="A7" s="34" t="s">
        <v>50</v>
      </c>
      <c r="B7" s="13">
        <f>IF($A7="","",IFERROR(INDEX(Stammdaten!$B$4:$B$9,MATCH($A7,Stammdaten!$A$4:$A$9,0)),""))</f>
        <v>46130</v>
      </c>
      <c r="C7" s="12" t="s">
        <v>46</v>
      </c>
      <c r="D7" s="12" t="s">
        <v>55</v>
      </c>
      <c r="E7" s="12" t="s">
        <v>48</v>
      </c>
      <c r="F7" s="34" t="s">
        <v>49</v>
      </c>
      <c r="G7" s="35"/>
      <c r="H7" s="36">
        <f>IF($D7="","",IF($F7="",0,IF($G7&lt;&gt;"",$G7,IFERROR(INDEX(Stammdaten!$G$4:$G$9,MATCH($A7,Stammdaten!$A$4:$A$9,0)),0))))</f>
        <v>5</v>
      </c>
      <c r="I7" s="33"/>
      <c r="J7" s="12" t="str">
        <f>IF(AND($D7&lt;&gt;"",$I7&lt;&gt;""),COUNTIFS($D$2:$D7,"&lt;&gt;",$I$2:$I7,"&lt;&gt;"),"")</f>
        <v/>
      </c>
    </row>
    <row r="8" spans="1:10" x14ac:dyDescent="0.25">
      <c r="A8" s="30" t="s">
        <v>51</v>
      </c>
      <c r="B8" s="16">
        <f>IF($A8="","",IFERROR(INDEX(Stammdaten!$B$4:$B$9,MATCH($A8,Stammdaten!$A$4:$A$9,0)),""))</f>
        <v>46131</v>
      </c>
      <c r="C8" s="15" t="s">
        <v>46</v>
      </c>
      <c r="D8" s="15" t="s">
        <v>55</v>
      </c>
      <c r="E8" s="15" t="s">
        <v>48</v>
      </c>
      <c r="F8" s="30" t="s">
        <v>49</v>
      </c>
      <c r="G8" s="31"/>
      <c r="H8" s="32">
        <f>IF($D8="","",IF($F8="",0,IF($G8&lt;&gt;"",$G8,IFERROR(INDEX(Stammdaten!$G$4:$G$9,MATCH($A8,Stammdaten!$A$4:$A$9,0)),0))))</f>
        <v>3</v>
      </c>
      <c r="I8" s="33"/>
      <c r="J8" s="15" t="str">
        <f>IF(AND($D8&lt;&gt;"",$I8&lt;&gt;""),COUNTIFS($D$2:$D8,"&lt;&gt;",$I$2:$I8,"&lt;&gt;"),"")</f>
        <v/>
      </c>
    </row>
    <row r="9" spans="1:10" x14ac:dyDescent="0.25">
      <c r="A9" s="34" t="s">
        <v>45</v>
      </c>
      <c r="B9" s="13">
        <f>IF($A9="","",IFERROR(INDEX(Stammdaten!$B$4:$B$9,MATCH($A9,Stammdaten!$A$4:$A$9,0)),""))</f>
        <v>46130</v>
      </c>
      <c r="C9" s="12" t="s">
        <v>46</v>
      </c>
      <c r="D9" s="12" t="s">
        <v>56</v>
      </c>
      <c r="E9" s="12" t="s">
        <v>48</v>
      </c>
      <c r="F9" s="34" t="s">
        <v>49</v>
      </c>
      <c r="G9" s="35"/>
      <c r="H9" s="36">
        <f>IF($D9="","",IF($F9="",0,IF($G9&lt;&gt;"",$G9,IFERROR(INDEX(Stammdaten!$G$4:$G$9,MATCH($A9,Stammdaten!$A$4:$A$9,0)),0))))</f>
        <v>5</v>
      </c>
      <c r="I9" s="33"/>
      <c r="J9" s="12" t="str">
        <f>IF(AND($D9&lt;&gt;"",$I9&lt;&gt;""),COUNTIFS($D$2:$D9,"&lt;&gt;",$I$2:$I9,"&lt;&gt;"),"")</f>
        <v/>
      </c>
    </row>
    <row r="10" spans="1:10" x14ac:dyDescent="0.25">
      <c r="A10" s="30" t="s">
        <v>50</v>
      </c>
      <c r="B10" s="16">
        <f>IF($A10="","",IFERROR(INDEX(Stammdaten!$B$4:$B$9,MATCH($A10,Stammdaten!$A$4:$A$9,0)),""))</f>
        <v>46130</v>
      </c>
      <c r="C10" s="15" t="s">
        <v>46</v>
      </c>
      <c r="D10" s="15" t="s">
        <v>56</v>
      </c>
      <c r="E10" s="15" t="s">
        <v>48</v>
      </c>
      <c r="F10" s="30" t="s">
        <v>49</v>
      </c>
      <c r="G10" s="31"/>
      <c r="H10" s="32">
        <f>IF($D10="","",IF($F10="",0,IF($G10&lt;&gt;"",$G10,IFERROR(INDEX(Stammdaten!$G$4:$G$9,MATCH($A10,Stammdaten!$A$4:$A$9,0)),0))))</f>
        <v>5</v>
      </c>
      <c r="I10" s="33"/>
      <c r="J10" s="15" t="str">
        <f>IF(AND($D10&lt;&gt;"",$I10&lt;&gt;""),COUNTIFS($D$2:$D10,"&lt;&gt;",$I$2:$I10,"&lt;&gt;"),"")</f>
        <v/>
      </c>
    </row>
    <row r="11" spans="1:10" x14ac:dyDescent="0.25">
      <c r="A11" s="34" t="s">
        <v>45</v>
      </c>
      <c r="B11" s="13">
        <f>IF($A11="","",IFERROR(INDEX(Stammdaten!$B$4:$B$9,MATCH($A11,Stammdaten!$A$4:$A$9,0)),""))</f>
        <v>46130</v>
      </c>
      <c r="C11" s="12" t="s">
        <v>57</v>
      </c>
      <c r="D11" s="12" t="s">
        <v>58</v>
      </c>
      <c r="E11" s="12" t="s">
        <v>48</v>
      </c>
      <c r="F11" s="34" t="s">
        <v>49</v>
      </c>
      <c r="G11" s="35"/>
      <c r="H11" s="36">
        <f>IF($D11="","",IF($F11="",0,IF($G11&lt;&gt;"",$G11,IFERROR(INDEX(Stammdaten!$G$4:$G$9,MATCH($A11,Stammdaten!$A$4:$A$9,0)),0))))</f>
        <v>5</v>
      </c>
      <c r="I11" s="33"/>
      <c r="J11" s="12" t="str">
        <f>IF(AND($D11&lt;&gt;"",$I11&lt;&gt;""),COUNTIFS($D$2:$D11,"&lt;&gt;",$I$2:$I11,"&lt;&gt;"),"")</f>
        <v/>
      </c>
    </row>
    <row r="12" spans="1:10" x14ac:dyDescent="0.25">
      <c r="A12" s="30" t="s">
        <v>50</v>
      </c>
      <c r="B12" s="16">
        <f>IF($A12="","",IFERROR(INDEX(Stammdaten!$B$4:$B$9,MATCH($A12,Stammdaten!$A$4:$A$9,0)),""))</f>
        <v>46130</v>
      </c>
      <c r="C12" s="15" t="s">
        <v>57</v>
      </c>
      <c r="D12" s="15" t="s">
        <v>58</v>
      </c>
      <c r="E12" s="15" t="s">
        <v>48</v>
      </c>
      <c r="F12" s="30" t="s">
        <v>49</v>
      </c>
      <c r="G12" s="31"/>
      <c r="H12" s="32">
        <f>IF($D12="","",IF($F12="",0,IF($G12&lt;&gt;"",$G12,IFERROR(INDEX(Stammdaten!$G$4:$G$9,MATCH($A12,Stammdaten!$A$4:$A$9,0)),0))))</f>
        <v>5</v>
      </c>
      <c r="I12" s="33"/>
      <c r="J12" s="15" t="str">
        <f>IF(AND($D12&lt;&gt;"",$I12&lt;&gt;""),COUNTIFS($D$2:$D12,"&lt;&gt;",$I$2:$I12,"&lt;&gt;"),"")</f>
        <v/>
      </c>
    </row>
    <row r="13" spans="1:10" x14ac:dyDescent="0.25">
      <c r="A13" s="34" t="s">
        <v>51</v>
      </c>
      <c r="B13" s="13">
        <f>IF($A13="","",IFERROR(INDEX(Stammdaten!$B$4:$B$9,MATCH($A13,Stammdaten!$A$4:$A$9,0)),""))</f>
        <v>46131</v>
      </c>
      <c r="C13" s="12" t="s">
        <v>57</v>
      </c>
      <c r="D13" s="12" t="s">
        <v>53</v>
      </c>
      <c r="E13" s="12" t="s">
        <v>54</v>
      </c>
      <c r="F13" s="34" t="s">
        <v>49</v>
      </c>
      <c r="G13" s="35"/>
      <c r="H13" s="36">
        <f>IF($D13="","",IF($F13="",0,IF($G13&lt;&gt;"",$G13,IFERROR(INDEX(Stammdaten!$G$4:$G$9,MATCH($A13,Stammdaten!$A$4:$A$9,0)),0))))</f>
        <v>3</v>
      </c>
      <c r="I13" s="33"/>
      <c r="J13" s="12" t="str">
        <f>IF(AND($D13&lt;&gt;"",$I13&lt;&gt;""),COUNTIFS($D$2:$D13,"&lt;&gt;",$I$2:$I13,"&lt;&gt;"),"")</f>
        <v/>
      </c>
    </row>
    <row r="14" spans="1:10" x14ac:dyDescent="0.25">
      <c r="A14" s="30" t="s">
        <v>52</v>
      </c>
      <c r="B14" s="16">
        <f>IF($A14="","",IFERROR(INDEX(Stammdaten!$B$4:$B$9,MATCH($A14,Stammdaten!$A$4:$A$9,0)),""))</f>
        <v>46137</v>
      </c>
      <c r="C14" s="15" t="s">
        <v>57</v>
      </c>
      <c r="D14" s="15" t="s">
        <v>53</v>
      </c>
      <c r="E14" s="15" t="s">
        <v>54</v>
      </c>
      <c r="F14" s="30" t="s">
        <v>49</v>
      </c>
      <c r="G14" s="31"/>
      <c r="H14" s="32">
        <f>IF($D14="","",IF($F14="",0,IF($G14&lt;&gt;"",$G14,IFERROR(INDEX(Stammdaten!$G$4:$G$9,MATCH($A14,Stammdaten!$A$4:$A$9,0)),0))))</f>
        <v>5</v>
      </c>
      <c r="I14" s="33"/>
      <c r="J14" s="15" t="str">
        <f>IF(AND($D14&lt;&gt;"",$I14&lt;&gt;""),COUNTIFS($D$2:$D14,"&lt;&gt;",$I$2:$I14,"&lt;&gt;"),"")</f>
        <v/>
      </c>
    </row>
    <row r="15" spans="1:10" x14ac:dyDescent="0.25">
      <c r="A15" s="34" t="s">
        <v>45</v>
      </c>
      <c r="B15" s="13">
        <f>IF($A15="","",IFERROR(INDEX(Stammdaten!$B$4:$B$9,MATCH($A15,Stammdaten!$A$4:$A$9,0)),""))</f>
        <v>46130</v>
      </c>
      <c r="C15" s="12" t="s">
        <v>59</v>
      </c>
      <c r="D15" s="12" t="s">
        <v>60</v>
      </c>
      <c r="E15" s="12" t="s">
        <v>48</v>
      </c>
      <c r="F15" s="34" t="s">
        <v>49</v>
      </c>
      <c r="G15" s="35"/>
      <c r="H15" s="36">
        <f>IF($D15="","",IF($F15="",0,IF($G15&lt;&gt;"",$G15,IFERROR(INDEX(Stammdaten!$G$4:$G$9,MATCH($A15,Stammdaten!$A$4:$A$9,0)),0))))</f>
        <v>5</v>
      </c>
      <c r="I15" s="33"/>
      <c r="J15" s="12" t="str">
        <f>IF(AND($D15&lt;&gt;"",$I15&lt;&gt;""),COUNTIFS($D$2:$D15,"&lt;&gt;",$I$2:$I15,"&lt;&gt;"),"")</f>
        <v/>
      </c>
    </row>
    <row r="16" spans="1:10" x14ac:dyDescent="0.25">
      <c r="A16" s="30" t="s">
        <v>50</v>
      </c>
      <c r="B16" s="16">
        <f>IF($A16="","",IFERROR(INDEX(Stammdaten!$B$4:$B$9,MATCH($A16,Stammdaten!$A$4:$A$9,0)),""))</f>
        <v>46130</v>
      </c>
      <c r="C16" s="15" t="s">
        <v>59</v>
      </c>
      <c r="D16" s="15" t="s">
        <v>61</v>
      </c>
      <c r="E16" s="15" t="s">
        <v>48</v>
      </c>
      <c r="F16" s="30" t="s">
        <v>49</v>
      </c>
      <c r="G16" s="31"/>
      <c r="H16" s="32">
        <f>IF($D16="","",IF($F16="",0,IF($G16&lt;&gt;"",$G16,IFERROR(INDEX(Stammdaten!$G$4:$G$9,MATCH($A16,Stammdaten!$A$4:$A$9,0)),0))))</f>
        <v>5</v>
      </c>
      <c r="I16" s="33"/>
      <c r="J16" s="15" t="str">
        <f>IF(AND($D16&lt;&gt;"",$I16&lt;&gt;""),COUNTIFS($D$2:$D16,"&lt;&gt;",$I$2:$I16,"&lt;&gt;"),"")</f>
        <v/>
      </c>
    </row>
    <row r="17" spans="1:10" x14ac:dyDescent="0.25">
      <c r="A17" s="34" t="s">
        <v>51</v>
      </c>
      <c r="B17" s="13">
        <f>IF($A17="","",IFERROR(INDEX(Stammdaten!$B$4:$B$9,MATCH($A17,Stammdaten!$A$4:$A$9,0)),""))</f>
        <v>46131</v>
      </c>
      <c r="C17" s="12" t="s">
        <v>59</v>
      </c>
      <c r="D17" s="12" t="s">
        <v>62</v>
      </c>
      <c r="E17" s="12" t="s">
        <v>63</v>
      </c>
      <c r="F17" s="34" t="s">
        <v>49</v>
      </c>
      <c r="G17" s="35"/>
      <c r="H17" s="36">
        <f>IF($D17="","",IF($F17="",0,IF($G17&lt;&gt;"",$G17,IFERROR(INDEX(Stammdaten!$G$4:$G$9,MATCH($A17,Stammdaten!$A$4:$A$9,0)),0))))</f>
        <v>3</v>
      </c>
      <c r="I17" s="33"/>
      <c r="J17" s="12" t="str">
        <f>IF(AND($D17&lt;&gt;"",$I17&lt;&gt;""),COUNTIFS($D$2:$D17,"&lt;&gt;",$I$2:$I17,"&lt;&gt;"),"")</f>
        <v/>
      </c>
    </row>
    <row r="18" spans="1:10" x14ac:dyDescent="0.25">
      <c r="A18" s="30" t="s">
        <v>52</v>
      </c>
      <c r="B18" s="16">
        <f>IF($A18="","",IFERROR(INDEX(Stammdaten!$B$4:$B$9,MATCH($A18,Stammdaten!$A$4:$A$9,0)),""))</f>
        <v>46137</v>
      </c>
      <c r="C18" s="15" t="s">
        <v>59</v>
      </c>
      <c r="D18" s="15" t="s">
        <v>60</v>
      </c>
      <c r="E18" s="15" t="s">
        <v>48</v>
      </c>
      <c r="F18" s="30" t="s">
        <v>49</v>
      </c>
      <c r="G18" s="31"/>
      <c r="H18" s="32">
        <f>IF($D18="","",IF($F18="",0,IF($G18&lt;&gt;"",$G18,IFERROR(INDEX(Stammdaten!$G$4:$G$9,MATCH($A18,Stammdaten!$A$4:$A$9,0)),0))))</f>
        <v>5</v>
      </c>
      <c r="I18" s="33"/>
      <c r="J18" s="15" t="str">
        <f>IF(AND($D18&lt;&gt;"",$I18&lt;&gt;""),COUNTIFS($D$2:$D18,"&lt;&gt;",$I$2:$I18,"&lt;&gt;"),"")</f>
        <v/>
      </c>
    </row>
    <row r="19" spans="1:10" x14ac:dyDescent="0.25">
      <c r="A19" s="34" t="s">
        <v>45</v>
      </c>
      <c r="B19" s="13">
        <f>IF($A19="","",IFERROR(INDEX(Stammdaten!$B$4:$B$9,MATCH($A19,Stammdaten!$A$4:$A$9,0)),""))</f>
        <v>46130</v>
      </c>
      <c r="C19" s="12" t="s">
        <v>64</v>
      </c>
      <c r="D19" s="12" t="s">
        <v>65</v>
      </c>
      <c r="E19" s="12" t="s">
        <v>63</v>
      </c>
      <c r="F19" s="34" t="s">
        <v>49</v>
      </c>
      <c r="G19" s="35"/>
      <c r="H19" s="36">
        <f>IF($D19="","",IF($F19="",0,IF($G19&lt;&gt;"",$G19,IFERROR(INDEX(Stammdaten!$G$4:$G$9,MATCH($A19,Stammdaten!$A$4:$A$9,0)),0))))</f>
        <v>5</v>
      </c>
      <c r="I19" s="33"/>
      <c r="J19" s="12" t="str">
        <f>IF(AND($D19&lt;&gt;"",$I19&lt;&gt;""),COUNTIFS($D$2:$D19,"&lt;&gt;",$I$2:$I19,"&lt;&gt;"),"")</f>
        <v/>
      </c>
    </row>
    <row r="20" spans="1:10" x14ac:dyDescent="0.25">
      <c r="A20" s="30" t="s">
        <v>50</v>
      </c>
      <c r="B20" s="16">
        <f>IF($A20="","",IFERROR(INDEX(Stammdaten!$B$4:$B$9,MATCH($A20,Stammdaten!$A$4:$A$9,0)),""))</f>
        <v>46130</v>
      </c>
      <c r="C20" s="15" t="s">
        <v>64</v>
      </c>
      <c r="D20" s="15" t="s">
        <v>65</v>
      </c>
      <c r="E20" s="15" t="s">
        <v>63</v>
      </c>
      <c r="F20" s="30" t="s">
        <v>49</v>
      </c>
      <c r="G20" s="31"/>
      <c r="H20" s="32">
        <f>IF($D20="","",IF($F20="",0,IF($G20&lt;&gt;"",$G20,IFERROR(INDEX(Stammdaten!$G$4:$G$9,MATCH($A20,Stammdaten!$A$4:$A$9,0)),0))))</f>
        <v>5</v>
      </c>
      <c r="I20" s="33"/>
      <c r="J20" s="15" t="str">
        <f>IF(AND($D20&lt;&gt;"",$I20&lt;&gt;""),COUNTIFS($D$2:$D20,"&lt;&gt;",$I$2:$I20,"&lt;&gt;"),"")</f>
        <v/>
      </c>
    </row>
    <row r="21" spans="1:10" x14ac:dyDescent="0.25">
      <c r="A21" s="34" t="s">
        <v>51</v>
      </c>
      <c r="B21" s="13">
        <f>IF($A21="","",IFERROR(INDEX(Stammdaten!$B$4:$B$9,MATCH($A21,Stammdaten!$A$4:$A$9,0)),""))</f>
        <v>46131</v>
      </c>
      <c r="C21" s="12" t="s">
        <v>64</v>
      </c>
      <c r="D21" s="12" t="s">
        <v>66</v>
      </c>
      <c r="E21" s="12" t="s">
        <v>54</v>
      </c>
      <c r="F21" s="34" t="s">
        <v>67</v>
      </c>
      <c r="G21" s="35"/>
      <c r="H21" s="36">
        <f>IF($D21="","",IF($F21="",0,IF($G21&lt;&gt;"",$G21,IFERROR(INDEX(Stammdaten!$G$4:$G$9,MATCH($A21,Stammdaten!$A$4:$A$9,0)),0))))</f>
        <v>3</v>
      </c>
      <c r="I21" s="33"/>
      <c r="J21" s="12" t="str">
        <f>IF(AND($D21&lt;&gt;"",$I21&lt;&gt;""),COUNTIFS($D$2:$D21,"&lt;&gt;",$I$2:$I21,"&lt;&gt;"),"")</f>
        <v/>
      </c>
    </row>
    <row r="22" spans="1:10" x14ac:dyDescent="0.25">
      <c r="A22" s="30" t="s">
        <v>52</v>
      </c>
      <c r="B22" s="16">
        <f>IF($A22="","",IFERROR(INDEX(Stammdaten!$B$4:$B$9,MATCH($A22,Stammdaten!$A$4:$A$9,0)),""))</f>
        <v>46137</v>
      </c>
      <c r="C22" s="15" t="s">
        <v>64</v>
      </c>
      <c r="D22" s="15" t="s">
        <v>66</v>
      </c>
      <c r="E22" s="15" t="s">
        <v>54</v>
      </c>
      <c r="F22" s="30" t="s">
        <v>67</v>
      </c>
      <c r="G22" s="31"/>
      <c r="H22" s="32">
        <f>IF($D22="","",IF($F22="",0,IF($G22&lt;&gt;"",$G22,IFERROR(INDEX(Stammdaten!$G$4:$G$9,MATCH($A22,Stammdaten!$A$4:$A$9,0)),0))))</f>
        <v>5</v>
      </c>
      <c r="I22" s="33"/>
      <c r="J22" s="15" t="str">
        <f>IF(AND($D22&lt;&gt;"",$I22&lt;&gt;""),COUNTIFS($D$2:$D22,"&lt;&gt;",$I$2:$I22,"&lt;&gt;"),"")</f>
        <v/>
      </c>
    </row>
    <row r="23" spans="1:10" x14ac:dyDescent="0.25">
      <c r="A23" s="34" t="s">
        <v>45</v>
      </c>
      <c r="B23" s="13">
        <f>IF($A23="","",IFERROR(INDEX(Stammdaten!$B$4:$B$9,MATCH($A23,Stammdaten!$A$4:$A$9,0)),""))</f>
        <v>46130</v>
      </c>
      <c r="C23" s="12" t="s">
        <v>68</v>
      </c>
      <c r="D23" s="12" t="s">
        <v>69</v>
      </c>
      <c r="E23" s="12" t="s">
        <v>48</v>
      </c>
      <c r="F23" s="34" t="s">
        <v>49</v>
      </c>
      <c r="G23" s="35"/>
      <c r="H23" s="36">
        <f>IF($D23="","",IF($F23="",0,IF($G23&lt;&gt;"",$G23,IFERROR(INDEX(Stammdaten!$G$4:$G$9,MATCH($A23,Stammdaten!$A$4:$A$9,0)),0))))</f>
        <v>5</v>
      </c>
      <c r="I23" s="33"/>
      <c r="J23" s="12" t="str">
        <f>IF(AND($D23&lt;&gt;"",$I23&lt;&gt;""),COUNTIFS($D$2:$D23,"&lt;&gt;",$I$2:$I23,"&lt;&gt;"),"")</f>
        <v/>
      </c>
    </row>
    <row r="24" spans="1:10" x14ac:dyDescent="0.25">
      <c r="A24" s="30" t="s">
        <v>50</v>
      </c>
      <c r="B24" s="16">
        <f>IF($A24="","",IFERROR(INDEX(Stammdaten!$B$4:$B$9,MATCH($A24,Stammdaten!$A$4:$A$9,0)),""))</f>
        <v>46130</v>
      </c>
      <c r="C24" s="15" t="s">
        <v>68</v>
      </c>
      <c r="D24" s="15" t="s">
        <v>69</v>
      </c>
      <c r="E24" s="15" t="s">
        <v>48</v>
      </c>
      <c r="F24" s="30" t="s">
        <v>49</v>
      </c>
      <c r="G24" s="31"/>
      <c r="H24" s="32">
        <f>IF($D24="","",IF($F24="",0,IF($G24&lt;&gt;"",$G24,IFERROR(INDEX(Stammdaten!$G$4:$G$9,MATCH($A24,Stammdaten!$A$4:$A$9,0)),0))))</f>
        <v>5</v>
      </c>
      <c r="I24" s="33"/>
      <c r="J24" s="15" t="str">
        <f>IF(AND($D24&lt;&gt;"",$I24&lt;&gt;""),COUNTIFS($D$2:$D24,"&lt;&gt;",$I$2:$I24,"&lt;&gt;"),"")</f>
        <v/>
      </c>
    </row>
    <row r="25" spans="1:10" x14ac:dyDescent="0.25">
      <c r="A25" s="34" t="s">
        <v>51</v>
      </c>
      <c r="B25" s="13">
        <f>IF($A25="","",IFERROR(INDEX(Stammdaten!$B$4:$B$9,MATCH($A25,Stammdaten!$A$4:$A$9,0)),""))</f>
        <v>46131</v>
      </c>
      <c r="C25" s="12" t="s">
        <v>68</v>
      </c>
      <c r="D25" s="12" t="s">
        <v>69</v>
      </c>
      <c r="E25" s="12" t="s">
        <v>48</v>
      </c>
      <c r="F25" s="34" t="s">
        <v>49</v>
      </c>
      <c r="G25" s="35"/>
      <c r="H25" s="36">
        <f>IF($D25="","",IF($F25="",0,IF($G25&lt;&gt;"",$G25,IFERROR(INDEX(Stammdaten!$G$4:$G$9,MATCH($A25,Stammdaten!$A$4:$A$9,0)),0))))</f>
        <v>3</v>
      </c>
      <c r="I25" s="33"/>
      <c r="J25" s="12" t="str">
        <f>IF(AND($D25&lt;&gt;"",$I25&lt;&gt;""),COUNTIFS($D$2:$D25,"&lt;&gt;",$I$2:$I25,"&lt;&gt;"),"")</f>
        <v/>
      </c>
    </row>
    <row r="26" spans="1:10" x14ac:dyDescent="0.25">
      <c r="A26" s="30" t="s">
        <v>52</v>
      </c>
      <c r="B26" s="16">
        <f>IF($A26="","",IFERROR(INDEX(Stammdaten!$B$4:$B$9,MATCH($A26,Stammdaten!$A$4:$A$9,0)),""))</f>
        <v>46137</v>
      </c>
      <c r="C26" s="15" t="s">
        <v>68</v>
      </c>
      <c r="D26" s="15" t="s">
        <v>70</v>
      </c>
      <c r="E26" s="15" t="s">
        <v>63</v>
      </c>
      <c r="F26" s="30" t="s">
        <v>49</v>
      </c>
      <c r="G26" s="31"/>
      <c r="H26" s="32">
        <f>IF($D26="","",IF($F26="",0,IF($G26&lt;&gt;"",$G26,IFERROR(INDEX(Stammdaten!$G$4:$G$9,MATCH($A26,Stammdaten!$A$4:$A$9,0)),0))))</f>
        <v>5</v>
      </c>
      <c r="I26" s="33"/>
      <c r="J26" s="15" t="str">
        <f>IF(AND($D26&lt;&gt;"",$I26&lt;&gt;""),COUNTIFS($D$2:$D26,"&lt;&gt;",$I$2:$I26,"&lt;&gt;"),"")</f>
        <v/>
      </c>
    </row>
    <row r="27" spans="1:10" x14ac:dyDescent="0.25">
      <c r="A27" s="34" t="s">
        <v>45</v>
      </c>
      <c r="B27" s="13">
        <f>IF($A27="","",IFERROR(INDEX(Stammdaten!$B$4:$B$9,MATCH($A27,Stammdaten!$A$4:$A$9,0)),""))</f>
        <v>46130</v>
      </c>
      <c r="C27" s="12" t="s">
        <v>71</v>
      </c>
      <c r="D27" s="12" t="s">
        <v>72</v>
      </c>
      <c r="E27" s="12" t="s">
        <v>54</v>
      </c>
      <c r="F27" s="34" t="s">
        <v>49</v>
      </c>
      <c r="G27" s="35"/>
      <c r="H27" s="36">
        <f>IF($D27="","",IF($F27="",0,IF($G27&lt;&gt;"",$G27,IFERROR(INDEX(Stammdaten!$G$4:$G$9,MATCH($A27,Stammdaten!$A$4:$A$9,0)),0))))</f>
        <v>5</v>
      </c>
      <c r="I27" s="33"/>
      <c r="J27" s="12" t="str">
        <f>IF(AND($D27&lt;&gt;"",$I27&lt;&gt;""),COUNTIFS($D$2:$D27,"&lt;&gt;",$I$2:$I27,"&lt;&gt;"),"")</f>
        <v/>
      </c>
    </row>
    <row r="28" spans="1:10" x14ac:dyDescent="0.25">
      <c r="A28" s="30" t="s">
        <v>50</v>
      </c>
      <c r="B28" s="16">
        <f>IF($A28="","",IFERROR(INDEX(Stammdaten!$B$4:$B$9,MATCH($A28,Stammdaten!$A$4:$A$9,0)),""))</f>
        <v>46130</v>
      </c>
      <c r="C28" s="15" t="s">
        <v>71</v>
      </c>
      <c r="D28" s="15" t="s">
        <v>72</v>
      </c>
      <c r="E28" s="15" t="s">
        <v>54</v>
      </c>
      <c r="F28" s="30" t="s">
        <v>49</v>
      </c>
      <c r="G28" s="31"/>
      <c r="H28" s="32">
        <f>IF($D28="","",IF($F28="",0,IF($G28&lt;&gt;"",$G28,IFERROR(INDEX(Stammdaten!$G$4:$G$9,MATCH($A28,Stammdaten!$A$4:$A$9,0)),0))))</f>
        <v>5</v>
      </c>
      <c r="I28" s="33"/>
      <c r="J28" s="15" t="str">
        <f>IF(AND($D28&lt;&gt;"",$I28&lt;&gt;""),COUNTIFS($D$2:$D28,"&lt;&gt;",$I$2:$I28,"&lt;&gt;"),"")</f>
        <v/>
      </c>
    </row>
    <row r="29" spans="1:10" x14ac:dyDescent="0.25">
      <c r="A29" s="34" t="s">
        <v>51</v>
      </c>
      <c r="B29" s="13">
        <f>IF($A29="","",IFERROR(INDEX(Stammdaten!$B$4:$B$9,MATCH($A29,Stammdaten!$A$4:$A$9,0)),""))</f>
        <v>46131</v>
      </c>
      <c r="C29" s="12" t="s">
        <v>71</v>
      </c>
      <c r="D29" s="12" t="s">
        <v>73</v>
      </c>
      <c r="E29" s="12" t="s">
        <v>48</v>
      </c>
      <c r="F29" s="34" t="s">
        <v>49</v>
      </c>
      <c r="G29" s="35"/>
      <c r="H29" s="36">
        <f>IF($D29="","",IF($F29="",0,IF($G29&lt;&gt;"",$G29,IFERROR(INDEX(Stammdaten!$G$4:$G$9,MATCH($A29,Stammdaten!$A$4:$A$9,0)),0))))</f>
        <v>3</v>
      </c>
      <c r="I29" s="33"/>
      <c r="J29" s="12" t="str">
        <f>IF(AND($D29&lt;&gt;"",$I29&lt;&gt;""),COUNTIFS($D$2:$D29,"&lt;&gt;",$I$2:$I29,"&lt;&gt;"),"")</f>
        <v/>
      </c>
    </row>
    <row r="30" spans="1:10" x14ac:dyDescent="0.25">
      <c r="A30" s="30" t="s">
        <v>52</v>
      </c>
      <c r="B30" s="16">
        <f>IF($A30="","",IFERROR(INDEX(Stammdaten!$B$4:$B$9,MATCH($A30,Stammdaten!$A$4:$A$9,0)),""))</f>
        <v>46137</v>
      </c>
      <c r="C30" s="15" t="s">
        <v>71</v>
      </c>
      <c r="D30" s="15" t="s">
        <v>74</v>
      </c>
      <c r="E30" s="15" t="s">
        <v>54</v>
      </c>
      <c r="F30" s="30" t="s">
        <v>67</v>
      </c>
      <c r="G30" s="31"/>
      <c r="H30" s="32">
        <f>IF($D30="","",IF($F30="",0,IF($G30&lt;&gt;"",$G30,IFERROR(INDEX(Stammdaten!$G$4:$G$9,MATCH($A30,Stammdaten!$A$4:$A$9,0)),0))))</f>
        <v>5</v>
      </c>
      <c r="I30" s="33"/>
      <c r="J30" s="15" t="str">
        <f>IF(AND($D30&lt;&gt;"",$I30&lt;&gt;""),COUNTIFS($D$2:$D30,"&lt;&gt;",$I$2:$I30,"&lt;&gt;"),"")</f>
        <v/>
      </c>
    </row>
    <row r="31" spans="1:10" x14ac:dyDescent="0.25">
      <c r="A31" s="34" t="s">
        <v>45</v>
      </c>
      <c r="B31" s="13">
        <f>IF($A31="","",IFERROR(INDEX(Stammdaten!$B$4:$B$9,MATCH($A31,Stammdaten!$A$4:$A$9,0)),""))</f>
        <v>46130</v>
      </c>
      <c r="C31" s="12" t="s">
        <v>75</v>
      </c>
      <c r="D31" s="12" t="s">
        <v>76</v>
      </c>
      <c r="E31" s="12" t="s">
        <v>54</v>
      </c>
      <c r="F31" s="34" t="s">
        <v>67</v>
      </c>
      <c r="G31" s="35"/>
      <c r="H31" s="36">
        <f>IF($D31="","",IF($F31="",0,IF($G31&lt;&gt;"",$G31,IFERROR(INDEX(Stammdaten!$G$4:$G$9,MATCH($A31,Stammdaten!$A$4:$A$9,0)),0))))</f>
        <v>5</v>
      </c>
      <c r="I31" s="33"/>
      <c r="J31" s="12" t="str">
        <f>IF(AND($D31&lt;&gt;"",$I31&lt;&gt;""),COUNTIFS($D$2:$D31,"&lt;&gt;",$I$2:$I31,"&lt;&gt;"),"")</f>
        <v/>
      </c>
    </row>
    <row r="32" spans="1:10" x14ac:dyDescent="0.25">
      <c r="A32" s="30" t="s">
        <v>50</v>
      </c>
      <c r="B32" s="16">
        <f>IF($A32="","",IFERROR(INDEX(Stammdaten!$B$4:$B$9,MATCH($A32,Stammdaten!$A$4:$A$9,0)),""))</f>
        <v>46130</v>
      </c>
      <c r="C32" s="15" t="s">
        <v>75</v>
      </c>
      <c r="D32" s="15" t="s">
        <v>77</v>
      </c>
      <c r="E32" s="15" t="s">
        <v>48</v>
      </c>
      <c r="F32" s="30" t="s">
        <v>49</v>
      </c>
      <c r="G32" s="31"/>
      <c r="H32" s="32">
        <f>IF($D32="","",IF($F32="",0,IF($G32&lt;&gt;"",$G32,IFERROR(INDEX(Stammdaten!$G$4:$G$9,MATCH($A32,Stammdaten!$A$4:$A$9,0)),0))))</f>
        <v>5</v>
      </c>
      <c r="I32" s="33"/>
      <c r="J32" s="15" t="str">
        <f>IF(AND($D32&lt;&gt;"",$I32&lt;&gt;""),COUNTIFS($D$2:$D32,"&lt;&gt;",$I$2:$I32,"&lt;&gt;"),"")</f>
        <v/>
      </c>
    </row>
    <row r="33" spans="1:10" x14ac:dyDescent="0.25">
      <c r="A33" s="34" t="s">
        <v>51</v>
      </c>
      <c r="B33" s="13">
        <f>IF($A33="","",IFERROR(INDEX(Stammdaten!$B$4:$B$9,MATCH($A33,Stammdaten!$A$4:$A$9,0)),""))</f>
        <v>46131</v>
      </c>
      <c r="C33" s="12" t="s">
        <v>75</v>
      </c>
      <c r="D33" s="12" t="s">
        <v>78</v>
      </c>
      <c r="E33" s="12" t="s">
        <v>48</v>
      </c>
      <c r="F33" s="34" t="s">
        <v>49</v>
      </c>
      <c r="G33" s="35"/>
      <c r="H33" s="36">
        <f>IF($D33="","",IF($F33="",0,IF($G33&lt;&gt;"",$G33,IFERROR(INDEX(Stammdaten!$G$4:$G$9,MATCH($A33,Stammdaten!$A$4:$A$9,0)),0))))</f>
        <v>3</v>
      </c>
      <c r="I33" s="33"/>
      <c r="J33" s="12" t="str">
        <f>IF(AND($D33&lt;&gt;"",$I33&lt;&gt;""),COUNTIFS($D$2:$D33,"&lt;&gt;",$I$2:$I33,"&lt;&gt;"),"")</f>
        <v/>
      </c>
    </row>
    <row r="34" spans="1:10" x14ac:dyDescent="0.25">
      <c r="A34" s="30" t="s">
        <v>52</v>
      </c>
      <c r="B34" s="16">
        <f>IF($A34="","",IFERROR(INDEX(Stammdaten!$B$4:$B$9,MATCH($A34,Stammdaten!$A$4:$A$9,0)),""))</f>
        <v>46137</v>
      </c>
      <c r="C34" s="15" t="s">
        <v>75</v>
      </c>
      <c r="D34" s="15" t="s">
        <v>78</v>
      </c>
      <c r="E34" s="15" t="s">
        <v>48</v>
      </c>
      <c r="F34" s="30" t="s">
        <v>49</v>
      </c>
      <c r="G34" s="31"/>
      <c r="H34" s="32">
        <f>IF($D34="","",IF($F34="",0,IF($G34&lt;&gt;"",$G34,IFERROR(INDEX(Stammdaten!$G$4:$G$9,MATCH($A34,Stammdaten!$A$4:$A$9,0)),0))))</f>
        <v>5</v>
      </c>
      <c r="I34" s="33"/>
      <c r="J34" s="15" t="str">
        <f>IF(AND($D34&lt;&gt;"",$I34&lt;&gt;""),COUNTIFS($D$2:$D34,"&lt;&gt;",$I$2:$I34,"&lt;&gt;"),"")</f>
        <v/>
      </c>
    </row>
    <row r="35" spans="1:10" x14ac:dyDescent="0.25">
      <c r="A35" s="34" t="s">
        <v>45</v>
      </c>
      <c r="B35" s="13">
        <f>IF($A35="","",IFERROR(INDEX(Stammdaten!$B$4:$B$9,MATCH($A35,Stammdaten!$A$4:$A$9,0)),""))</f>
        <v>46130</v>
      </c>
      <c r="C35" s="12" t="s">
        <v>79</v>
      </c>
      <c r="D35" s="12" t="s">
        <v>80</v>
      </c>
      <c r="E35" s="12" t="s">
        <v>63</v>
      </c>
      <c r="F35" s="34" t="s">
        <v>67</v>
      </c>
      <c r="G35" s="35"/>
      <c r="H35" s="36">
        <f>IF($D35="","",IF($F35="",0,IF($G35&lt;&gt;"",$G35,IFERROR(INDEX(Stammdaten!$G$4:$G$9,MATCH($A35,Stammdaten!$A$4:$A$9,0)),0))))</f>
        <v>5</v>
      </c>
      <c r="I35" s="33"/>
      <c r="J35" s="12" t="str">
        <f>IF(AND($D35&lt;&gt;"",$I35&lt;&gt;""),COUNTIFS($D$2:$D35,"&lt;&gt;",$I$2:$I35,"&lt;&gt;"),"")</f>
        <v/>
      </c>
    </row>
    <row r="36" spans="1:10" x14ac:dyDescent="0.25">
      <c r="A36" s="30" t="s">
        <v>50</v>
      </c>
      <c r="B36" s="16">
        <f>IF($A36="","",IFERROR(INDEX(Stammdaten!$B$4:$B$9,MATCH($A36,Stammdaten!$A$4:$A$9,0)),""))</f>
        <v>46130</v>
      </c>
      <c r="C36" s="15" t="s">
        <v>79</v>
      </c>
      <c r="D36" s="15" t="s">
        <v>80</v>
      </c>
      <c r="E36" s="15" t="s">
        <v>63</v>
      </c>
      <c r="F36" s="30" t="s">
        <v>67</v>
      </c>
      <c r="G36" s="31"/>
      <c r="H36" s="32">
        <f>IF($D36="","",IF($F36="",0,IF($G36&lt;&gt;"",$G36,IFERROR(INDEX(Stammdaten!$G$4:$G$9,MATCH($A36,Stammdaten!$A$4:$A$9,0)),0))))</f>
        <v>5</v>
      </c>
      <c r="I36" s="33"/>
      <c r="J36" s="15" t="str">
        <f>IF(AND($D36&lt;&gt;"",$I36&lt;&gt;""),COUNTIFS($D$2:$D36,"&lt;&gt;",$I$2:$I36,"&lt;&gt;"),"")</f>
        <v/>
      </c>
    </row>
    <row r="37" spans="1:10" x14ac:dyDescent="0.25">
      <c r="A37" s="34" t="s">
        <v>51</v>
      </c>
      <c r="B37" s="13">
        <f>IF($A37="","",IFERROR(INDEX(Stammdaten!$B$4:$B$9,MATCH($A37,Stammdaten!$A$4:$A$9,0)),""))</f>
        <v>46131</v>
      </c>
      <c r="C37" s="12" t="s">
        <v>79</v>
      </c>
      <c r="D37" s="12" t="s">
        <v>80</v>
      </c>
      <c r="E37" s="12" t="s">
        <v>63</v>
      </c>
      <c r="F37" s="34" t="s">
        <v>67</v>
      </c>
      <c r="G37" s="35"/>
      <c r="H37" s="36">
        <f>IF($D37="","",IF($F37="",0,IF($G37&lt;&gt;"",$G37,IFERROR(INDEX(Stammdaten!$G$4:$G$9,MATCH($A37,Stammdaten!$A$4:$A$9,0)),0))))</f>
        <v>3</v>
      </c>
      <c r="I37" s="33"/>
      <c r="J37" s="12" t="str">
        <f>IF(AND($D37&lt;&gt;"",$I37&lt;&gt;""),COUNTIFS($D$2:$D37,"&lt;&gt;",$I$2:$I37,"&lt;&gt;"),"")</f>
        <v/>
      </c>
    </row>
    <row r="38" spans="1:10" x14ac:dyDescent="0.25">
      <c r="A38" s="30" t="s">
        <v>52</v>
      </c>
      <c r="B38" s="16">
        <f>IF($A38="","",IFERROR(INDEX(Stammdaten!$B$4:$B$9,MATCH($A38,Stammdaten!$A$4:$A$9,0)),""))</f>
        <v>46137</v>
      </c>
      <c r="C38" s="15" t="s">
        <v>79</v>
      </c>
      <c r="D38" s="15" t="s">
        <v>80</v>
      </c>
      <c r="E38" s="15" t="s">
        <v>63</v>
      </c>
      <c r="F38" s="30" t="s">
        <v>67</v>
      </c>
      <c r="G38" s="31"/>
      <c r="H38" s="32">
        <f>IF($D38="","",IF($F38="",0,IF($G38&lt;&gt;"",$G38,IFERROR(INDEX(Stammdaten!$G$4:$G$9,MATCH($A38,Stammdaten!$A$4:$A$9,0)),0))))</f>
        <v>5</v>
      </c>
      <c r="I38" s="33"/>
      <c r="J38" s="15" t="str">
        <f>IF(AND($D38&lt;&gt;"",$I38&lt;&gt;""),COUNTIFS($D$2:$D38,"&lt;&gt;",$I$2:$I38,"&lt;&gt;"),"")</f>
        <v/>
      </c>
    </row>
    <row r="39" spans="1:10" x14ac:dyDescent="0.25">
      <c r="A39" s="34" t="s">
        <v>45</v>
      </c>
      <c r="B39" s="13">
        <f>IF($A39="","",IFERROR(INDEX(Stammdaten!$B$4:$B$9,MATCH($A39,Stammdaten!$A$4:$A$9,0)),""))</f>
        <v>46130</v>
      </c>
      <c r="C39" s="12" t="s">
        <v>81</v>
      </c>
      <c r="D39" s="12" t="s">
        <v>82</v>
      </c>
      <c r="E39" s="12" t="s">
        <v>63</v>
      </c>
      <c r="F39" s="34" t="s">
        <v>67</v>
      </c>
      <c r="G39" s="35"/>
      <c r="H39" s="36">
        <f>IF($D39="","",IF($F39="",0,IF($G39&lt;&gt;"",$G39,IFERROR(INDEX(Stammdaten!$G$4:$G$9,MATCH($A39,Stammdaten!$A$4:$A$9,0)),0))))</f>
        <v>5</v>
      </c>
      <c r="I39" s="33"/>
      <c r="J39" s="12" t="str">
        <f>IF(AND($D39&lt;&gt;"",$I39&lt;&gt;""),COUNTIFS($D$2:$D39,"&lt;&gt;",$I$2:$I39,"&lt;&gt;"),"")</f>
        <v/>
      </c>
    </row>
    <row r="40" spans="1:10" x14ac:dyDescent="0.25">
      <c r="A40" s="30" t="s">
        <v>50</v>
      </c>
      <c r="B40" s="16">
        <f>IF($A40="","",IFERROR(INDEX(Stammdaten!$B$4:$B$9,MATCH($A40,Stammdaten!$A$4:$A$9,0)),""))</f>
        <v>46130</v>
      </c>
      <c r="C40" s="15" t="s">
        <v>81</v>
      </c>
      <c r="D40" s="15" t="s">
        <v>82</v>
      </c>
      <c r="E40" s="15" t="s">
        <v>63</v>
      </c>
      <c r="F40" s="30" t="s">
        <v>67</v>
      </c>
      <c r="G40" s="31"/>
      <c r="H40" s="32">
        <f>IF($D40="","",IF($F40="",0,IF($G40&lt;&gt;"",$G40,IFERROR(INDEX(Stammdaten!$G$4:$G$9,MATCH($A40,Stammdaten!$A$4:$A$9,0)),0))))</f>
        <v>5</v>
      </c>
      <c r="I40" s="33"/>
      <c r="J40" s="15" t="str">
        <f>IF(AND($D40&lt;&gt;"",$I40&lt;&gt;""),COUNTIFS($D$2:$D40,"&lt;&gt;",$I$2:$I40,"&lt;&gt;"),"")</f>
        <v/>
      </c>
    </row>
    <row r="41" spans="1:10" x14ac:dyDescent="0.25">
      <c r="A41" s="34" t="s">
        <v>51</v>
      </c>
      <c r="B41" s="13">
        <f>IF($A41="","",IFERROR(INDEX(Stammdaten!$B$4:$B$9,MATCH($A41,Stammdaten!$A$4:$A$9,0)),""))</f>
        <v>46131</v>
      </c>
      <c r="C41" s="12" t="s">
        <v>81</v>
      </c>
      <c r="D41" s="12" t="s">
        <v>82</v>
      </c>
      <c r="E41" s="12" t="s">
        <v>63</v>
      </c>
      <c r="F41" s="34" t="s">
        <v>67</v>
      </c>
      <c r="G41" s="35"/>
      <c r="H41" s="36">
        <f>IF($D41="","",IF($F41="",0,IF($G41&lt;&gt;"",$G41,IFERROR(INDEX(Stammdaten!$G$4:$G$9,MATCH($A41,Stammdaten!$A$4:$A$9,0)),0))))</f>
        <v>3</v>
      </c>
      <c r="I41" s="33"/>
      <c r="J41" s="12" t="str">
        <f>IF(AND($D41&lt;&gt;"",$I41&lt;&gt;""),COUNTIFS($D$2:$D41,"&lt;&gt;",$I$2:$I41,"&lt;&gt;"),"")</f>
        <v/>
      </c>
    </row>
    <row r="42" spans="1:10" x14ac:dyDescent="0.25">
      <c r="A42" s="30" t="s">
        <v>52</v>
      </c>
      <c r="B42" s="16">
        <f>IF($A42="","",IFERROR(INDEX(Stammdaten!$B$4:$B$9,MATCH($A42,Stammdaten!$A$4:$A$9,0)),""))</f>
        <v>46137</v>
      </c>
      <c r="C42" s="15" t="s">
        <v>81</v>
      </c>
      <c r="D42" s="15" t="s">
        <v>82</v>
      </c>
      <c r="E42" s="15" t="s">
        <v>63</v>
      </c>
      <c r="F42" s="30" t="s">
        <v>67</v>
      </c>
      <c r="G42" s="31"/>
      <c r="H42" s="32">
        <f>IF($D42="","",IF($F42="",0,IF($G42&lt;&gt;"",$G42,IFERROR(INDEX(Stammdaten!$G$4:$G$9,MATCH($A42,Stammdaten!$A$4:$A$9,0)),0))))</f>
        <v>5</v>
      </c>
      <c r="I42" s="33"/>
      <c r="J42" s="15" t="str">
        <f>IF(AND($D42&lt;&gt;"",$I42&lt;&gt;""),COUNTIFS($D$2:$D42,"&lt;&gt;",$I$2:$I42,"&lt;&gt;"),"")</f>
        <v/>
      </c>
    </row>
    <row r="43" spans="1:10" x14ac:dyDescent="0.25">
      <c r="A43" s="34" t="s">
        <v>45</v>
      </c>
      <c r="B43" s="13">
        <f>IF($A43="","",IFERROR(INDEX(Stammdaten!$B$4:$B$9,MATCH($A43,Stammdaten!$A$4:$A$9,0)),""))</f>
        <v>46130</v>
      </c>
      <c r="C43" s="12" t="s">
        <v>83</v>
      </c>
      <c r="D43" s="12" t="s">
        <v>84</v>
      </c>
      <c r="E43" s="12" t="s">
        <v>48</v>
      </c>
      <c r="F43" s="34" t="s">
        <v>49</v>
      </c>
      <c r="G43" s="35"/>
      <c r="H43" s="36">
        <f>IF($D43="","",IF($F43="",0,IF($G43&lt;&gt;"",$G43,IFERROR(INDEX(Stammdaten!$G$4:$G$9,MATCH($A43,Stammdaten!$A$4:$A$9,0)),0))))</f>
        <v>5</v>
      </c>
      <c r="I43" s="33"/>
      <c r="J43" s="12" t="str">
        <f>IF(AND($D43&lt;&gt;"",$I43&lt;&gt;""),COUNTIFS($D$2:$D43,"&lt;&gt;",$I$2:$I43,"&lt;&gt;"),"")</f>
        <v/>
      </c>
    </row>
    <row r="44" spans="1:10" x14ac:dyDescent="0.25">
      <c r="A44" s="30" t="s">
        <v>50</v>
      </c>
      <c r="B44" s="16">
        <f>IF($A44="","",IFERROR(INDEX(Stammdaten!$B$4:$B$9,MATCH($A44,Stammdaten!$A$4:$A$9,0)),""))</f>
        <v>46130</v>
      </c>
      <c r="C44" s="15" t="s">
        <v>83</v>
      </c>
      <c r="D44" s="15" t="s">
        <v>84</v>
      </c>
      <c r="E44" s="15" t="s">
        <v>48</v>
      </c>
      <c r="F44" s="30" t="s">
        <v>49</v>
      </c>
      <c r="G44" s="31"/>
      <c r="H44" s="32">
        <f>IF($D44="","",IF($F44="",0,IF($G44&lt;&gt;"",$G44,IFERROR(INDEX(Stammdaten!$G$4:$G$9,MATCH($A44,Stammdaten!$A$4:$A$9,0)),0))))</f>
        <v>5</v>
      </c>
      <c r="I44" s="33"/>
      <c r="J44" s="15" t="str">
        <f>IF(AND($D44&lt;&gt;"",$I44&lt;&gt;""),COUNTIFS($D$2:$D44,"&lt;&gt;",$I$2:$I44,"&lt;&gt;"),"")</f>
        <v/>
      </c>
    </row>
    <row r="45" spans="1:10" x14ac:dyDescent="0.25">
      <c r="A45" s="34" t="s">
        <v>51</v>
      </c>
      <c r="B45" s="13">
        <f>IF($A45="","",IFERROR(INDEX(Stammdaten!$B$4:$B$9,MATCH($A45,Stammdaten!$A$4:$A$9,0)),""))</f>
        <v>46131</v>
      </c>
      <c r="C45" s="12" t="s">
        <v>83</v>
      </c>
      <c r="D45" s="12" t="s">
        <v>85</v>
      </c>
      <c r="E45" s="12" t="s">
        <v>63</v>
      </c>
      <c r="F45" s="34" t="s">
        <v>49</v>
      </c>
      <c r="G45" s="35"/>
      <c r="H45" s="36">
        <f>IF($D45="","",IF($F45="",0,IF($G45&lt;&gt;"",$G45,IFERROR(INDEX(Stammdaten!$G$4:$G$9,MATCH($A45,Stammdaten!$A$4:$A$9,0)),0))))</f>
        <v>3</v>
      </c>
      <c r="I45" s="33"/>
      <c r="J45" s="12" t="str">
        <f>IF(AND($D45&lt;&gt;"",$I45&lt;&gt;""),COUNTIFS($D$2:$D45,"&lt;&gt;",$I$2:$I45,"&lt;&gt;"),"")</f>
        <v/>
      </c>
    </row>
    <row r="46" spans="1:10" x14ac:dyDescent="0.25">
      <c r="A46" s="30" t="s">
        <v>52</v>
      </c>
      <c r="B46" s="16">
        <f>IF($A46="","",IFERROR(INDEX(Stammdaten!$B$4:$B$9,MATCH($A46,Stammdaten!$A$4:$A$9,0)),""))</f>
        <v>46137</v>
      </c>
      <c r="C46" s="15" t="s">
        <v>83</v>
      </c>
      <c r="D46" s="15" t="s">
        <v>86</v>
      </c>
      <c r="E46" s="15" t="s">
        <v>54</v>
      </c>
      <c r="F46" s="30" t="s">
        <v>49</v>
      </c>
      <c r="G46" s="31"/>
      <c r="H46" s="32">
        <f>IF($D46="","",IF($F46="",0,IF($G46&lt;&gt;"",$G46,IFERROR(INDEX(Stammdaten!$G$4:$G$9,MATCH($A46,Stammdaten!$A$4:$A$9,0)),0))))</f>
        <v>5</v>
      </c>
      <c r="I46" s="33"/>
      <c r="J46" s="15" t="str">
        <f>IF(AND($D46&lt;&gt;"",$I46&lt;&gt;""),COUNTIFS($D$2:$D46,"&lt;&gt;",$I$2:$I46,"&lt;&gt;"),"")</f>
        <v/>
      </c>
    </row>
    <row r="47" spans="1:10" x14ac:dyDescent="0.25">
      <c r="A47" s="34" t="s">
        <v>45</v>
      </c>
      <c r="B47" s="13">
        <f>IF($A47="","",IFERROR(INDEX(Stammdaten!$B$4:$B$9,MATCH($A47,Stammdaten!$A$4:$A$9,0)),""))</f>
        <v>46130</v>
      </c>
      <c r="C47" s="12" t="s">
        <v>83</v>
      </c>
      <c r="D47" s="12" t="s">
        <v>87</v>
      </c>
      <c r="E47" s="12" t="s">
        <v>63</v>
      </c>
      <c r="F47" s="34" t="s">
        <v>49</v>
      </c>
      <c r="G47" s="35"/>
      <c r="H47" s="36">
        <f>IF($D47="","",IF($F47="",0,IF($G47&lt;&gt;"",$G47,IFERROR(INDEX(Stammdaten!$G$4:$G$9,MATCH($A47,Stammdaten!$A$4:$A$9,0)),0))))</f>
        <v>5</v>
      </c>
      <c r="I47" s="33"/>
      <c r="J47" s="12" t="str">
        <f>IF(AND($D47&lt;&gt;"",$I47&lt;&gt;""),COUNTIFS($D$2:$D47,"&lt;&gt;",$I$2:$I47,"&lt;&gt;"),"")</f>
        <v/>
      </c>
    </row>
    <row r="48" spans="1:10" x14ac:dyDescent="0.25">
      <c r="A48" s="30" t="s">
        <v>51</v>
      </c>
      <c r="B48" s="16">
        <f>IF($A48="","",IFERROR(INDEX(Stammdaten!$B$4:$B$9,MATCH($A48,Stammdaten!$A$4:$A$9,0)),""))</f>
        <v>46131</v>
      </c>
      <c r="C48" s="15" t="s">
        <v>83</v>
      </c>
      <c r="D48" s="15" t="s">
        <v>88</v>
      </c>
      <c r="E48" s="15" t="s">
        <v>63</v>
      </c>
      <c r="F48" s="30" t="s">
        <v>49</v>
      </c>
      <c r="G48" s="31"/>
      <c r="H48" s="32">
        <f>IF($D48="","",IF($F48="",0,IF($G48&lt;&gt;"",$G48,IFERROR(INDEX(Stammdaten!$G$4:$G$9,MATCH($A48,Stammdaten!$A$4:$A$9,0)),0))))</f>
        <v>3</v>
      </c>
      <c r="I48" s="33"/>
      <c r="J48" s="15" t="str">
        <f>IF(AND($D48&lt;&gt;"",$I48&lt;&gt;""),COUNTIFS($D$2:$D48,"&lt;&gt;",$I$2:$I48,"&lt;&gt;"),"")</f>
        <v/>
      </c>
    </row>
    <row r="49" spans="1:10" x14ac:dyDescent="0.25">
      <c r="A49" s="34" t="s">
        <v>52</v>
      </c>
      <c r="B49" s="13">
        <f>IF($A49="","",IFERROR(INDEX(Stammdaten!$B$4:$B$9,MATCH($A49,Stammdaten!$A$4:$A$9,0)),""))</f>
        <v>46137</v>
      </c>
      <c r="C49" s="12" t="s">
        <v>83</v>
      </c>
      <c r="D49" s="12" t="s">
        <v>88</v>
      </c>
      <c r="E49" s="12" t="s">
        <v>63</v>
      </c>
      <c r="F49" s="34" t="s">
        <v>49</v>
      </c>
      <c r="G49" s="35"/>
      <c r="H49" s="36">
        <f>IF($D49="","",IF($F49="",0,IF($G49&lt;&gt;"",$G49,IFERROR(INDEX(Stammdaten!$G$4:$G$9,MATCH($A49,Stammdaten!$A$4:$A$9,0)),0))))</f>
        <v>5</v>
      </c>
      <c r="I49" s="33"/>
      <c r="J49" s="12" t="str">
        <f>IF(AND($D49&lt;&gt;"",$I49&lt;&gt;""),COUNTIFS($D$2:$D49,"&lt;&gt;",$I$2:$I49,"&lt;&gt;"),"")</f>
        <v/>
      </c>
    </row>
    <row r="50" spans="1:10" x14ac:dyDescent="0.25">
      <c r="A50" s="30" t="s">
        <v>45</v>
      </c>
      <c r="B50" s="16">
        <f>IF($A50="","",IFERROR(INDEX(Stammdaten!$B$4:$B$9,MATCH($A50,Stammdaten!$A$4:$A$9,0)),""))</f>
        <v>46130</v>
      </c>
      <c r="C50" s="15" t="s">
        <v>83</v>
      </c>
      <c r="D50" s="15" t="s">
        <v>89</v>
      </c>
      <c r="E50" s="15" t="s">
        <v>63</v>
      </c>
      <c r="F50" s="30" t="s">
        <v>49</v>
      </c>
      <c r="G50" s="31"/>
      <c r="H50" s="32">
        <f>IF($D50="","",IF($F50="",0,IF($G50&lt;&gt;"",$G50,IFERROR(INDEX(Stammdaten!$G$4:$G$9,MATCH($A50,Stammdaten!$A$4:$A$9,0)),0))))</f>
        <v>5</v>
      </c>
      <c r="I50" s="33"/>
      <c r="J50" s="15" t="str">
        <f>IF(AND($D50&lt;&gt;"",$I50&lt;&gt;""),COUNTIFS($D$2:$D50,"&lt;&gt;",$I$2:$I50,"&lt;&gt;"),"")</f>
        <v/>
      </c>
    </row>
    <row r="51" spans="1:10" x14ac:dyDescent="0.25">
      <c r="A51" s="34" t="s">
        <v>51</v>
      </c>
      <c r="B51" s="13">
        <f>IF($A51="","",IFERROR(INDEX(Stammdaten!$B$4:$B$9,MATCH($A51,Stammdaten!$A$4:$A$9,0)),""))</f>
        <v>46131</v>
      </c>
      <c r="C51" s="12" t="s">
        <v>83</v>
      </c>
      <c r="D51" s="12" t="s">
        <v>90</v>
      </c>
      <c r="E51" s="12" t="s">
        <v>63</v>
      </c>
      <c r="F51" s="34" t="s">
        <v>49</v>
      </c>
      <c r="G51" s="35"/>
      <c r="H51" s="36">
        <f>IF($D51="","",IF($F51="",0,IF($G51&lt;&gt;"",$G51,IFERROR(INDEX(Stammdaten!$G$4:$G$9,MATCH($A51,Stammdaten!$A$4:$A$9,0)),0))))</f>
        <v>3</v>
      </c>
      <c r="I51" s="33"/>
      <c r="J51" s="12" t="str">
        <f>IF(AND($D51&lt;&gt;"",$I51&lt;&gt;""),COUNTIFS($D$2:$D51,"&lt;&gt;",$I$2:$I51,"&lt;&gt;"),"")</f>
        <v/>
      </c>
    </row>
    <row r="52" spans="1:10" x14ac:dyDescent="0.25">
      <c r="A52" s="30" t="s">
        <v>45</v>
      </c>
      <c r="B52" s="16">
        <f>IF($A52="","",IFERROR(INDEX(Stammdaten!$B$4:$B$9,MATCH($A52,Stammdaten!$A$4:$A$9,0)),""))</f>
        <v>46130</v>
      </c>
      <c r="C52" s="15" t="s">
        <v>91</v>
      </c>
      <c r="D52" s="15" t="s">
        <v>80</v>
      </c>
      <c r="E52" s="15" t="s">
        <v>63</v>
      </c>
      <c r="F52" s="30" t="s">
        <v>67</v>
      </c>
      <c r="G52" s="31"/>
      <c r="H52" s="32">
        <f>IF($D52="","",IF($F52="",0,IF($G52&lt;&gt;"",$G52,IFERROR(INDEX(Stammdaten!$G$4:$G$9,MATCH($A52,Stammdaten!$A$4:$A$9,0)),0))))</f>
        <v>5</v>
      </c>
      <c r="I52" s="33"/>
      <c r="J52" s="15" t="str">
        <f>IF(AND($D52&lt;&gt;"",$I52&lt;&gt;""),COUNTIFS($D$2:$D52,"&lt;&gt;",$I$2:$I52,"&lt;&gt;"),"")</f>
        <v/>
      </c>
    </row>
    <row r="53" spans="1:10" x14ac:dyDescent="0.25">
      <c r="A53" s="34" t="s">
        <v>50</v>
      </c>
      <c r="B53" s="13">
        <f>IF($A53="","",IFERROR(INDEX(Stammdaten!$B$4:$B$9,MATCH($A53,Stammdaten!$A$4:$A$9,0)),""))</f>
        <v>46130</v>
      </c>
      <c r="C53" s="12" t="s">
        <v>91</v>
      </c>
      <c r="D53" s="12" t="s">
        <v>92</v>
      </c>
      <c r="E53" s="12" t="s">
        <v>63</v>
      </c>
      <c r="F53" s="34" t="s">
        <v>49</v>
      </c>
      <c r="G53" s="35"/>
      <c r="H53" s="36">
        <f>IF($D53="","",IF($F53="",0,IF($G53&lt;&gt;"",$G53,IFERROR(INDEX(Stammdaten!$G$4:$G$9,MATCH($A53,Stammdaten!$A$4:$A$9,0)),0))))</f>
        <v>5</v>
      </c>
      <c r="I53" s="33"/>
      <c r="J53" s="12" t="str">
        <f>IF(AND($D53&lt;&gt;"",$I53&lt;&gt;""),COUNTIFS($D$2:$D53,"&lt;&gt;",$I$2:$I53,"&lt;&gt;"),"")</f>
        <v/>
      </c>
    </row>
    <row r="54" spans="1:10" x14ac:dyDescent="0.25">
      <c r="A54" s="30" t="s">
        <v>51</v>
      </c>
      <c r="B54" s="16">
        <f>IF($A54="","",IFERROR(INDEX(Stammdaten!$B$4:$B$9,MATCH($A54,Stammdaten!$A$4:$A$9,0)),""))</f>
        <v>46131</v>
      </c>
      <c r="C54" s="15" t="s">
        <v>91</v>
      </c>
      <c r="D54" s="15" t="s">
        <v>93</v>
      </c>
      <c r="E54" s="15" t="s">
        <v>63</v>
      </c>
      <c r="F54" s="30" t="s">
        <v>49</v>
      </c>
      <c r="G54" s="31"/>
      <c r="H54" s="32">
        <f>IF($D54="","",IF($F54="",0,IF($G54&lt;&gt;"",$G54,IFERROR(INDEX(Stammdaten!$G$4:$G$9,MATCH($A54,Stammdaten!$A$4:$A$9,0)),0))))</f>
        <v>3</v>
      </c>
      <c r="I54" s="33"/>
      <c r="J54" s="15" t="str">
        <f>IF(AND($D54&lt;&gt;"",$I54&lt;&gt;""),COUNTIFS($D$2:$D54,"&lt;&gt;",$I$2:$I54,"&lt;&gt;"),"")</f>
        <v/>
      </c>
    </row>
    <row r="55" spans="1:10" x14ac:dyDescent="0.25">
      <c r="A55" s="34" t="s">
        <v>52</v>
      </c>
      <c r="B55" s="13">
        <f>IF($A55="","",IFERROR(INDEX(Stammdaten!$B$4:$B$9,MATCH($A55,Stammdaten!$A$4:$A$9,0)),""))</f>
        <v>46137</v>
      </c>
      <c r="C55" s="12" t="s">
        <v>91</v>
      </c>
      <c r="D55" s="12" t="s">
        <v>93</v>
      </c>
      <c r="E55" s="12" t="s">
        <v>63</v>
      </c>
      <c r="F55" s="34" t="s">
        <v>49</v>
      </c>
      <c r="G55" s="35"/>
      <c r="H55" s="36">
        <f>IF($D55="","",IF($F55="",0,IF($G55&lt;&gt;"",$G55,IFERROR(INDEX(Stammdaten!$G$4:$G$9,MATCH($A55,Stammdaten!$A$4:$A$9,0)),0))))</f>
        <v>5</v>
      </c>
      <c r="I55" s="33"/>
      <c r="J55" s="12" t="str">
        <f>IF(AND($D55&lt;&gt;"",$I55&lt;&gt;""),COUNTIFS($D$2:$D55,"&lt;&gt;",$I$2:$I55,"&lt;&gt;"),"")</f>
        <v/>
      </c>
    </row>
    <row r="56" spans="1:10" x14ac:dyDescent="0.25">
      <c r="A56" s="30" t="s">
        <v>45</v>
      </c>
      <c r="B56" s="16">
        <f>IF($A56="","",IFERROR(INDEX(Stammdaten!$B$4:$B$9,MATCH($A56,Stammdaten!$A$4:$A$9,0)),""))</f>
        <v>46130</v>
      </c>
      <c r="C56" s="15" t="s">
        <v>94</v>
      </c>
      <c r="D56" s="15" t="s">
        <v>95</v>
      </c>
      <c r="E56" s="15" t="s">
        <v>54</v>
      </c>
      <c r="F56" s="30" t="s">
        <v>49</v>
      </c>
      <c r="G56" s="31"/>
      <c r="H56" s="32">
        <f>IF($D56="","",IF($F56="",0,IF($G56&lt;&gt;"",$G56,IFERROR(INDEX(Stammdaten!$G$4:$G$9,MATCH($A56,Stammdaten!$A$4:$A$9,0)),0))))</f>
        <v>5</v>
      </c>
      <c r="I56" s="33"/>
      <c r="J56" s="15" t="str">
        <f>IF(AND($D56&lt;&gt;"",$I56&lt;&gt;""),COUNTIFS($D$2:$D56,"&lt;&gt;",$I$2:$I56,"&lt;&gt;"),"")</f>
        <v/>
      </c>
    </row>
    <row r="57" spans="1:10" x14ac:dyDescent="0.25">
      <c r="A57" s="34" t="s">
        <v>50</v>
      </c>
      <c r="B57" s="13">
        <f>IF($A57="","",IFERROR(INDEX(Stammdaten!$B$4:$B$9,MATCH($A57,Stammdaten!$A$4:$A$9,0)),""))</f>
        <v>46130</v>
      </c>
      <c r="C57" s="12" t="s">
        <v>94</v>
      </c>
      <c r="D57" s="12" t="s">
        <v>95</v>
      </c>
      <c r="E57" s="12" t="s">
        <v>54</v>
      </c>
      <c r="F57" s="34" t="s">
        <v>49</v>
      </c>
      <c r="G57" s="35"/>
      <c r="H57" s="36">
        <f>IF($D57="","",IF($F57="",0,IF($G57&lt;&gt;"",$G57,IFERROR(INDEX(Stammdaten!$G$4:$G$9,MATCH($A57,Stammdaten!$A$4:$A$9,0)),0))))</f>
        <v>5</v>
      </c>
      <c r="I57" s="33"/>
      <c r="J57" s="12" t="str">
        <f>IF(AND($D57&lt;&gt;"",$I57&lt;&gt;""),COUNTIFS($D$2:$D57,"&lt;&gt;",$I$2:$I57,"&lt;&gt;"),"")</f>
        <v/>
      </c>
    </row>
    <row r="58" spans="1:10" x14ac:dyDescent="0.25">
      <c r="A58" s="30" t="s">
        <v>51</v>
      </c>
      <c r="B58" s="16">
        <f>IF($A58="","",IFERROR(INDEX(Stammdaten!$B$4:$B$9,MATCH($A58,Stammdaten!$A$4:$A$9,0)),""))</f>
        <v>46131</v>
      </c>
      <c r="C58" s="15" t="s">
        <v>94</v>
      </c>
      <c r="D58" s="15" t="s">
        <v>95</v>
      </c>
      <c r="E58" s="15" t="s">
        <v>54</v>
      </c>
      <c r="F58" s="30" t="s">
        <v>49</v>
      </c>
      <c r="G58" s="31"/>
      <c r="H58" s="32">
        <f>IF($D58="","",IF($F58="",0,IF($G58&lt;&gt;"",$G58,IFERROR(INDEX(Stammdaten!$G$4:$G$9,MATCH($A58,Stammdaten!$A$4:$A$9,0)),0))))</f>
        <v>3</v>
      </c>
      <c r="I58" s="33"/>
      <c r="J58" s="15" t="str">
        <f>IF(AND($D58&lt;&gt;"",$I58&lt;&gt;""),COUNTIFS($D$2:$D58,"&lt;&gt;",$I$2:$I58,"&lt;&gt;"),"")</f>
        <v/>
      </c>
    </row>
    <row r="59" spans="1:10" x14ac:dyDescent="0.25">
      <c r="A59" s="34" t="s">
        <v>52</v>
      </c>
      <c r="B59" s="13">
        <f>IF($A59="","",IFERROR(INDEX(Stammdaten!$B$4:$B$9,MATCH($A59,Stammdaten!$A$4:$A$9,0)),""))</f>
        <v>46137</v>
      </c>
      <c r="C59" s="12" t="s">
        <v>94</v>
      </c>
      <c r="D59" s="12" t="s">
        <v>95</v>
      </c>
      <c r="E59" s="12" t="s">
        <v>54</v>
      </c>
      <c r="F59" s="34" t="s">
        <v>49</v>
      </c>
      <c r="G59" s="35"/>
      <c r="H59" s="36">
        <f>IF($D59="","",IF($F59="",0,IF($G59&lt;&gt;"",$G59,IFERROR(INDEX(Stammdaten!$G$4:$G$9,MATCH($A59,Stammdaten!$A$4:$A$9,0)),0))))</f>
        <v>5</v>
      </c>
      <c r="I59" s="33"/>
      <c r="J59" s="12" t="str">
        <f>IF(AND($D59&lt;&gt;"",$I59&lt;&gt;""),COUNTIFS($D$2:$D59,"&lt;&gt;",$I$2:$I59,"&lt;&gt;"),"")</f>
        <v/>
      </c>
    </row>
    <row r="60" spans="1:10" x14ac:dyDescent="0.25">
      <c r="A60" s="30" t="s">
        <v>45</v>
      </c>
      <c r="B60" s="16">
        <f>IF($A60="","",IFERROR(INDEX(Stammdaten!$B$4:$B$9,MATCH($A60,Stammdaten!$A$4:$A$9,0)),""))</f>
        <v>46130</v>
      </c>
      <c r="C60" s="15" t="s">
        <v>94</v>
      </c>
      <c r="D60" s="15" t="s">
        <v>96</v>
      </c>
      <c r="E60" s="15" t="s">
        <v>54</v>
      </c>
      <c r="F60" s="30" t="s">
        <v>49</v>
      </c>
      <c r="G60" s="31"/>
      <c r="H60" s="32">
        <f>IF($D60="","",IF($F60="",0,IF($G60&lt;&gt;"",$G60,IFERROR(INDEX(Stammdaten!$G$4:$G$9,MATCH($A60,Stammdaten!$A$4:$A$9,0)),0))))</f>
        <v>5</v>
      </c>
      <c r="I60" s="33"/>
      <c r="J60" s="15" t="str">
        <f>IF(AND($D60&lt;&gt;"",$I60&lt;&gt;""),COUNTIFS($D$2:$D60,"&lt;&gt;",$I$2:$I60,"&lt;&gt;"),"")</f>
        <v/>
      </c>
    </row>
    <row r="61" spans="1:10" x14ac:dyDescent="0.25">
      <c r="A61" s="34" t="s">
        <v>50</v>
      </c>
      <c r="B61" s="13">
        <f>IF($A61="","",IFERROR(INDEX(Stammdaten!$B$4:$B$9,MATCH($A61,Stammdaten!$A$4:$A$9,0)),""))</f>
        <v>46130</v>
      </c>
      <c r="C61" s="12" t="s">
        <v>94</v>
      </c>
      <c r="D61" s="12" t="s">
        <v>96</v>
      </c>
      <c r="E61" s="12" t="s">
        <v>54</v>
      </c>
      <c r="F61" s="34" t="s">
        <v>49</v>
      </c>
      <c r="G61" s="35"/>
      <c r="H61" s="36">
        <f>IF($D61="","",IF($F61="",0,IF($G61&lt;&gt;"",$G61,IFERROR(INDEX(Stammdaten!$G$4:$G$9,MATCH($A61,Stammdaten!$A$4:$A$9,0)),0))))</f>
        <v>5</v>
      </c>
      <c r="I61" s="33"/>
      <c r="J61" s="12" t="str">
        <f>IF(AND($D61&lt;&gt;"",$I61&lt;&gt;""),COUNTIFS($D$2:$D61,"&lt;&gt;",$I$2:$I61,"&lt;&gt;"),"")</f>
        <v/>
      </c>
    </row>
    <row r="62" spans="1:10" x14ac:dyDescent="0.25">
      <c r="A62" s="30" t="s">
        <v>51</v>
      </c>
      <c r="B62" s="16">
        <f>IF($A62="","",IFERROR(INDEX(Stammdaten!$B$4:$B$9,MATCH($A62,Stammdaten!$A$4:$A$9,0)),""))</f>
        <v>46131</v>
      </c>
      <c r="C62" s="15" t="s">
        <v>94</v>
      </c>
      <c r="D62" s="15" t="s">
        <v>97</v>
      </c>
      <c r="E62" s="15" t="s">
        <v>54</v>
      </c>
      <c r="F62" s="30" t="s">
        <v>49</v>
      </c>
      <c r="G62" s="31"/>
      <c r="H62" s="32">
        <f>IF($D62="","",IF($F62="",0,IF($G62&lt;&gt;"",$G62,IFERROR(INDEX(Stammdaten!$G$4:$G$9,MATCH($A62,Stammdaten!$A$4:$A$9,0)),0))))</f>
        <v>3</v>
      </c>
      <c r="I62" s="33"/>
      <c r="J62" s="15" t="str">
        <f>IF(AND($D62&lt;&gt;"",$I62&lt;&gt;""),COUNTIFS($D$2:$D62,"&lt;&gt;",$I$2:$I62,"&lt;&gt;"),"")</f>
        <v/>
      </c>
    </row>
    <row r="63" spans="1:10" x14ac:dyDescent="0.25">
      <c r="A63" s="34" t="s">
        <v>52</v>
      </c>
      <c r="B63" s="13">
        <f>IF($A63="","",IFERROR(INDEX(Stammdaten!$B$4:$B$9,MATCH($A63,Stammdaten!$A$4:$A$9,0)),""))</f>
        <v>46137</v>
      </c>
      <c r="C63" s="12" t="s">
        <v>94</v>
      </c>
      <c r="D63" s="12" t="s">
        <v>97</v>
      </c>
      <c r="E63" s="12" t="s">
        <v>54</v>
      </c>
      <c r="F63" s="34" t="s">
        <v>49</v>
      </c>
      <c r="G63" s="35"/>
      <c r="H63" s="36">
        <f>IF($D63="","",IF($F63="",0,IF($G63&lt;&gt;"",$G63,IFERROR(INDEX(Stammdaten!$G$4:$G$9,MATCH($A63,Stammdaten!$A$4:$A$9,0)),0))))</f>
        <v>5</v>
      </c>
      <c r="I63" s="33"/>
      <c r="J63" s="12" t="str">
        <f>IF(AND($D63&lt;&gt;"",$I63&lt;&gt;""),COUNTIFS($D$2:$D63,"&lt;&gt;",$I$2:$I63,"&lt;&gt;"),"")</f>
        <v/>
      </c>
    </row>
    <row r="64" spans="1:10" x14ac:dyDescent="0.25">
      <c r="A64" s="30" t="s">
        <v>45</v>
      </c>
      <c r="B64" s="16">
        <f>IF($A64="","",IFERROR(INDEX(Stammdaten!$B$4:$B$9,MATCH($A64,Stammdaten!$A$4:$A$9,0)),""))</f>
        <v>46130</v>
      </c>
      <c r="C64" s="15" t="s">
        <v>98</v>
      </c>
      <c r="D64" s="15" t="s">
        <v>99</v>
      </c>
      <c r="E64" s="15" t="s">
        <v>48</v>
      </c>
      <c r="F64" s="30" t="s">
        <v>49</v>
      </c>
      <c r="G64" s="31"/>
      <c r="H64" s="32">
        <f>IF($D64="","",IF($F64="",0,IF($G64&lt;&gt;"",$G64,IFERROR(INDEX(Stammdaten!$G$4:$G$9,MATCH($A64,Stammdaten!$A$4:$A$9,0)),0))))</f>
        <v>5</v>
      </c>
      <c r="I64" s="33"/>
      <c r="J64" s="15" t="str">
        <f>IF(AND($D64&lt;&gt;"",$I64&lt;&gt;""),COUNTIFS($D$2:$D64,"&lt;&gt;",$I$2:$I64,"&lt;&gt;"),"")</f>
        <v/>
      </c>
    </row>
    <row r="65" spans="1:10" x14ac:dyDescent="0.25">
      <c r="A65" s="34" t="s">
        <v>50</v>
      </c>
      <c r="B65" s="13">
        <f>IF($A65="","",IFERROR(INDEX(Stammdaten!$B$4:$B$9,MATCH($A65,Stammdaten!$A$4:$A$9,0)),""))</f>
        <v>46130</v>
      </c>
      <c r="C65" s="12" t="s">
        <v>98</v>
      </c>
      <c r="D65" s="12" t="s">
        <v>99</v>
      </c>
      <c r="E65" s="12" t="s">
        <v>48</v>
      </c>
      <c r="F65" s="34" t="s">
        <v>49</v>
      </c>
      <c r="G65" s="35"/>
      <c r="H65" s="36">
        <f>IF($D65="","",IF($F65="",0,IF($G65&lt;&gt;"",$G65,IFERROR(INDEX(Stammdaten!$G$4:$G$9,MATCH($A65,Stammdaten!$A$4:$A$9,0)),0))))</f>
        <v>5</v>
      </c>
      <c r="I65" s="33"/>
      <c r="J65" s="12" t="str">
        <f>IF(AND($D65&lt;&gt;"",$I65&lt;&gt;""),COUNTIFS($D$2:$D65,"&lt;&gt;",$I$2:$I65,"&lt;&gt;"),"")</f>
        <v/>
      </c>
    </row>
    <row r="66" spans="1:10" x14ac:dyDescent="0.25">
      <c r="A66" s="30" t="s">
        <v>51</v>
      </c>
      <c r="B66" s="16">
        <f>IF($A66="","",IFERROR(INDEX(Stammdaten!$B$4:$B$9,MATCH($A66,Stammdaten!$A$4:$A$9,0)),""))</f>
        <v>46131</v>
      </c>
      <c r="C66" s="15" t="s">
        <v>98</v>
      </c>
      <c r="D66" s="15" t="s">
        <v>100</v>
      </c>
      <c r="E66" s="15" t="s">
        <v>63</v>
      </c>
      <c r="F66" s="30" t="s">
        <v>49</v>
      </c>
      <c r="G66" s="31"/>
      <c r="H66" s="32">
        <f>IF($D66="","",IF($F66="",0,IF($G66&lt;&gt;"",$G66,IFERROR(INDEX(Stammdaten!$G$4:$G$9,MATCH($A66,Stammdaten!$A$4:$A$9,0)),0))))</f>
        <v>3</v>
      </c>
      <c r="I66" s="33"/>
      <c r="J66" s="15" t="str">
        <f>IF(AND($D66&lt;&gt;"",$I66&lt;&gt;""),COUNTIFS($D$2:$D66,"&lt;&gt;",$I$2:$I66,"&lt;&gt;"),"")</f>
        <v/>
      </c>
    </row>
    <row r="67" spans="1:10" x14ac:dyDescent="0.25">
      <c r="A67" s="34" t="s">
        <v>52</v>
      </c>
      <c r="B67" s="13">
        <f>IF($A67="","",IFERROR(INDEX(Stammdaten!$B$4:$B$9,MATCH($A67,Stammdaten!$A$4:$A$9,0)),""))</f>
        <v>46137</v>
      </c>
      <c r="C67" s="12" t="s">
        <v>98</v>
      </c>
      <c r="D67" s="12" t="s">
        <v>101</v>
      </c>
      <c r="E67" s="12" t="s">
        <v>54</v>
      </c>
      <c r="F67" s="34" t="s">
        <v>49</v>
      </c>
      <c r="G67" s="35"/>
      <c r="H67" s="36">
        <f>IF($D67="","",IF($F67="",0,IF($G67&lt;&gt;"",$G67,IFERROR(INDEX(Stammdaten!$G$4:$G$9,MATCH($A67,Stammdaten!$A$4:$A$9,0)),0))))</f>
        <v>5</v>
      </c>
      <c r="I67" s="33"/>
      <c r="J67" s="12" t="str">
        <f>IF(AND($D67&lt;&gt;"",$I67&lt;&gt;""),COUNTIFS($D$2:$D67,"&lt;&gt;",$I$2:$I67,"&lt;&gt;"),"")</f>
        <v/>
      </c>
    </row>
    <row r="68" spans="1:10" x14ac:dyDescent="0.25">
      <c r="A68" s="30" t="s">
        <v>45</v>
      </c>
      <c r="B68" s="16">
        <f>IF($A68="","",IFERROR(INDEX(Stammdaten!$B$4:$B$9,MATCH($A68,Stammdaten!$A$4:$A$9,0)),""))</f>
        <v>46130</v>
      </c>
      <c r="C68" s="15" t="s">
        <v>98</v>
      </c>
      <c r="D68" s="15" t="s">
        <v>102</v>
      </c>
      <c r="E68" s="15" t="s">
        <v>63</v>
      </c>
      <c r="F68" s="30" t="s">
        <v>49</v>
      </c>
      <c r="G68" s="31"/>
      <c r="H68" s="32">
        <f>IF($D68="","",IF($F68="",0,IF($G68&lt;&gt;"",$G68,IFERROR(INDEX(Stammdaten!$G$4:$G$9,MATCH($A68,Stammdaten!$A$4:$A$9,0)),0))))</f>
        <v>5</v>
      </c>
      <c r="I68" s="33"/>
      <c r="J68" s="15" t="str">
        <f>IF(AND($D68&lt;&gt;"",$I68&lt;&gt;""),COUNTIFS($D$2:$D68,"&lt;&gt;",$I$2:$I68,"&lt;&gt;"),"")</f>
        <v/>
      </c>
    </row>
    <row r="69" spans="1:10" x14ac:dyDescent="0.25">
      <c r="A69" s="34" t="s">
        <v>50</v>
      </c>
      <c r="B69" s="13">
        <f>IF($A69="","",IFERROR(INDEX(Stammdaten!$B$4:$B$9,MATCH($A69,Stammdaten!$A$4:$A$9,0)),""))</f>
        <v>46130</v>
      </c>
      <c r="C69" s="12" t="s">
        <v>98</v>
      </c>
      <c r="D69" s="12" t="s">
        <v>102</v>
      </c>
      <c r="E69" s="12" t="s">
        <v>63</v>
      </c>
      <c r="F69" s="34" t="s">
        <v>49</v>
      </c>
      <c r="G69" s="35"/>
      <c r="H69" s="36">
        <f>IF($D69="","",IF($F69="",0,IF($G69&lt;&gt;"",$G69,IFERROR(INDEX(Stammdaten!$G$4:$G$9,MATCH($A69,Stammdaten!$A$4:$A$9,0)),0))))</f>
        <v>5</v>
      </c>
      <c r="I69" s="33"/>
      <c r="J69" s="12" t="str">
        <f>IF(AND($D69&lt;&gt;"",$I69&lt;&gt;""),COUNTIFS($D$2:$D69,"&lt;&gt;",$I$2:$I69,"&lt;&gt;"),"")</f>
        <v/>
      </c>
    </row>
    <row r="70" spans="1:10" x14ac:dyDescent="0.25">
      <c r="A70" s="30" t="s">
        <v>51</v>
      </c>
      <c r="B70" s="16">
        <f>IF($A70="","",IFERROR(INDEX(Stammdaten!$B$4:$B$9,MATCH($A70,Stammdaten!$A$4:$A$9,0)),""))</f>
        <v>46131</v>
      </c>
      <c r="C70" s="15" t="s">
        <v>98</v>
      </c>
      <c r="D70" s="15" t="s">
        <v>102</v>
      </c>
      <c r="E70" s="15" t="s">
        <v>63</v>
      </c>
      <c r="F70" s="30" t="s">
        <v>49</v>
      </c>
      <c r="G70" s="31"/>
      <c r="H70" s="32">
        <f>IF($D70="","",IF($F70="",0,IF($G70&lt;&gt;"",$G70,IFERROR(INDEX(Stammdaten!$G$4:$G$9,MATCH($A70,Stammdaten!$A$4:$A$9,0)),0))))</f>
        <v>3</v>
      </c>
      <c r="I70" s="33"/>
      <c r="J70" s="15" t="str">
        <f>IF(AND($D70&lt;&gt;"",$I70&lt;&gt;""),COUNTIFS($D$2:$D70,"&lt;&gt;",$I$2:$I70,"&lt;&gt;"),"")</f>
        <v/>
      </c>
    </row>
    <row r="71" spans="1:10" x14ac:dyDescent="0.25">
      <c r="A71" s="34" t="s">
        <v>52</v>
      </c>
      <c r="B71" s="13">
        <f>IF($A71="","",IFERROR(INDEX(Stammdaten!$B$4:$B$9,MATCH($A71,Stammdaten!$A$4:$A$9,0)),""))</f>
        <v>46137</v>
      </c>
      <c r="C71" s="12" t="s">
        <v>98</v>
      </c>
      <c r="D71" s="12" t="s">
        <v>102</v>
      </c>
      <c r="E71" s="12" t="s">
        <v>63</v>
      </c>
      <c r="F71" s="34" t="s">
        <v>49</v>
      </c>
      <c r="G71" s="35"/>
      <c r="H71" s="36">
        <f>IF($D71="","",IF($F71="",0,IF($G71&lt;&gt;"",$G71,IFERROR(INDEX(Stammdaten!$G$4:$G$9,MATCH($A71,Stammdaten!$A$4:$A$9,0)),0))))</f>
        <v>5</v>
      </c>
      <c r="I71" s="33"/>
      <c r="J71" s="12" t="str">
        <f>IF(AND($D71&lt;&gt;"",$I71&lt;&gt;""),COUNTIFS($D$2:$D71,"&lt;&gt;",$I$2:$I71,"&lt;&gt;"),"")</f>
        <v/>
      </c>
    </row>
    <row r="72" spans="1:10" x14ac:dyDescent="0.25">
      <c r="A72" s="30" t="s">
        <v>45</v>
      </c>
      <c r="B72" s="16">
        <f>IF($A72="","",IFERROR(INDEX(Stammdaten!$B$4:$B$9,MATCH($A72,Stammdaten!$A$4:$A$9,0)),""))</f>
        <v>46130</v>
      </c>
      <c r="C72" s="15" t="s">
        <v>98</v>
      </c>
      <c r="D72" s="15" t="s">
        <v>103</v>
      </c>
      <c r="E72" s="15" t="s">
        <v>63</v>
      </c>
      <c r="F72" s="30" t="s">
        <v>49</v>
      </c>
      <c r="G72" s="31"/>
      <c r="H72" s="32">
        <f>IF($D72="","",IF($F72="",0,IF($G72&lt;&gt;"",$G72,IFERROR(INDEX(Stammdaten!$G$4:$G$9,MATCH($A72,Stammdaten!$A$4:$A$9,0)),0))))</f>
        <v>5</v>
      </c>
      <c r="I72" s="33"/>
      <c r="J72" s="15" t="str">
        <f>IF(AND($D72&lt;&gt;"",$I72&lt;&gt;""),COUNTIFS($D$2:$D72,"&lt;&gt;",$I$2:$I72,"&lt;&gt;"),"")</f>
        <v/>
      </c>
    </row>
    <row r="73" spans="1:10" x14ac:dyDescent="0.25">
      <c r="A73" s="34" t="s">
        <v>50</v>
      </c>
      <c r="B73" s="13">
        <f>IF($A73="","",IFERROR(INDEX(Stammdaten!$B$4:$B$9,MATCH($A73,Stammdaten!$A$4:$A$9,0)),""))</f>
        <v>46130</v>
      </c>
      <c r="C73" s="12" t="s">
        <v>98</v>
      </c>
      <c r="D73" s="12" t="s">
        <v>103</v>
      </c>
      <c r="E73" s="12" t="s">
        <v>63</v>
      </c>
      <c r="F73" s="34" t="s">
        <v>49</v>
      </c>
      <c r="G73" s="35"/>
      <c r="H73" s="36">
        <f>IF($D73="","",IF($F73="",0,IF($G73&lt;&gt;"",$G73,IFERROR(INDEX(Stammdaten!$G$4:$G$9,MATCH($A73,Stammdaten!$A$4:$A$9,0)),0))))</f>
        <v>5</v>
      </c>
      <c r="I73" s="33"/>
      <c r="J73" s="12" t="str">
        <f>IF(AND($D73&lt;&gt;"",$I73&lt;&gt;""),COUNTIFS($D$2:$D73,"&lt;&gt;",$I$2:$I73,"&lt;&gt;"),"")</f>
        <v/>
      </c>
    </row>
    <row r="74" spans="1:10" x14ac:dyDescent="0.25">
      <c r="A74" s="30" t="s">
        <v>51</v>
      </c>
      <c r="B74" s="16">
        <f>IF($A74="","",IFERROR(INDEX(Stammdaten!$B$4:$B$9,MATCH($A74,Stammdaten!$A$4:$A$9,0)),""))</f>
        <v>46131</v>
      </c>
      <c r="C74" s="15" t="s">
        <v>98</v>
      </c>
      <c r="D74" s="15" t="s">
        <v>103</v>
      </c>
      <c r="E74" s="15" t="s">
        <v>63</v>
      </c>
      <c r="F74" s="30" t="s">
        <v>49</v>
      </c>
      <c r="G74" s="31"/>
      <c r="H74" s="32">
        <f>IF($D74="","",IF($F74="",0,IF($G74&lt;&gt;"",$G74,IFERROR(INDEX(Stammdaten!$G$4:$G$9,MATCH($A74,Stammdaten!$A$4:$A$9,0)),0))))</f>
        <v>3</v>
      </c>
      <c r="I74" s="33"/>
      <c r="J74" s="15" t="str">
        <f>IF(AND($D74&lt;&gt;"",$I74&lt;&gt;""),COUNTIFS($D$2:$D74,"&lt;&gt;",$I$2:$I74,"&lt;&gt;"),"")</f>
        <v/>
      </c>
    </row>
    <row r="75" spans="1:10" x14ac:dyDescent="0.25">
      <c r="A75" s="34" t="s">
        <v>52</v>
      </c>
      <c r="B75" s="13">
        <f>IF($A75="","",IFERROR(INDEX(Stammdaten!$B$4:$B$9,MATCH($A75,Stammdaten!$A$4:$A$9,0)),""))</f>
        <v>46137</v>
      </c>
      <c r="C75" s="12" t="s">
        <v>98</v>
      </c>
      <c r="D75" s="12" t="s">
        <v>104</v>
      </c>
      <c r="E75" s="12" t="s">
        <v>48</v>
      </c>
      <c r="F75" s="34" t="s">
        <v>49</v>
      </c>
      <c r="G75" s="35"/>
      <c r="H75" s="36">
        <f>IF($D75="","",IF($F75="",0,IF($G75&lt;&gt;"",$G75,IFERROR(INDEX(Stammdaten!$G$4:$G$9,MATCH($A75,Stammdaten!$A$4:$A$9,0)),0))))</f>
        <v>5</v>
      </c>
      <c r="I75" s="33"/>
      <c r="J75" s="12" t="str">
        <f>IF(AND($D75&lt;&gt;"",$I75&lt;&gt;""),COUNTIFS($D$2:$D75,"&lt;&gt;",$I$2:$I75,"&lt;&gt;"),"")</f>
        <v/>
      </c>
    </row>
    <row r="76" spans="1:10" x14ac:dyDescent="0.25">
      <c r="A76" s="30" t="s">
        <v>45</v>
      </c>
      <c r="B76" s="16">
        <f>IF($A76="","",IFERROR(INDEX(Stammdaten!$B$4:$B$9,MATCH($A76,Stammdaten!$A$4:$A$9,0)),""))</f>
        <v>46130</v>
      </c>
      <c r="C76" s="15" t="s">
        <v>98</v>
      </c>
      <c r="D76" s="15" t="s">
        <v>105</v>
      </c>
      <c r="E76" s="15" t="s">
        <v>54</v>
      </c>
      <c r="F76" s="30" t="s">
        <v>49</v>
      </c>
      <c r="G76" s="31"/>
      <c r="H76" s="32">
        <f>IF($D76="","",IF($F76="",0,IF($G76&lt;&gt;"",$G76,IFERROR(INDEX(Stammdaten!$G$4:$G$9,MATCH($A76,Stammdaten!$A$4:$A$9,0)),0))))</f>
        <v>5</v>
      </c>
      <c r="I76" s="33"/>
      <c r="J76" s="15" t="str">
        <f>IF(AND($D76&lt;&gt;"",$I76&lt;&gt;""),COUNTIFS($D$2:$D76,"&lt;&gt;",$I$2:$I76,"&lt;&gt;"),"")</f>
        <v/>
      </c>
    </row>
    <row r="77" spans="1:10" x14ac:dyDescent="0.25">
      <c r="A77" s="34" t="s">
        <v>50</v>
      </c>
      <c r="B77" s="13">
        <f>IF($A77="","",IFERROR(INDEX(Stammdaten!$B$4:$B$9,MATCH($A77,Stammdaten!$A$4:$A$9,0)),""))</f>
        <v>46130</v>
      </c>
      <c r="C77" s="12" t="s">
        <v>98</v>
      </c>
      <c r="D77" s="12" t="s">
        <v>105</v>
      </c>
      <c r="E77" s="12" t="s">
        <v>54</v>
      </c>
      <c r="F77" s="34" t="s">
        <v>49</v>
      </c>
      <c r="G77" s="35"/>
      <c r="H77" s="36">
        <f>IF($D77="","",IF($F77="",0,IF($G77&lt;&gt;"",$G77,IFERROR(INDEX(Stammdaten!$G$4:$G$9,MATCH($A77,Stammdaten!$A$4:$A$9,0)),0))))</f>
        <v>5</v>
      </c>
      <c r="I77" s="33"/>
      <c r="J77" s="12" t="str">
        <f>IF(AND($D77&lt;&gt;"",$I77&lt;&gt;""),COUNTIFS($D$2:$D77,"&lt;&gt;",$I$2:$I77,"&lt;&gt;"),"")</f>
        <v/>
      </c>
    </row>
    <row r="78" spans="1:10" x14ac:dyDescent="0.25">
      <c r="A78" s="30" t="s">
        <v>51</v>
      </c>
      <c r="B78" s="16">
        <f>IF($A78="","",IFERROR(INDEX(Stammdaten!$B$4:$B$9,MATCH($A78,Stammdaten!$A$4:$A$9,0)),""))</f>
        <v>46131</v>
      </c>
      <c r="C78" s="15" t="s">
        <v>98</v>
      </c>
      <c r="D78" s="15" t="s">
        <v>104</v>
      </c>
      <c r="E78" s="15" t="s">
        <v>48</v>
      </c>
      <c r="F78" s="30" t="s">
        <v>49</v>
      </c>
      <c r="G78" s="31"/>
      <c r="H78" s="32">
        <f>IF($D78="","",IF($F78="",0,IF($G78&lt;&gt;"",$G78,IFERROR(INDEX(Stammdaten!$G$4:$G$9,MATCH($A78,Stammdaten!$A$4:$A$9,0)),0))))</f>
        <v>3</v>
      </c>
      <c r="I78" s="33"/>
      <c r="J78" s="15" t="str">
        <f>IF(AND($D78&lt;&gt;"",$I78&lt;&gt;""),COUNTIFS($D$2:$D78,"&lt;&gt;",$I$2:$I78,"&lt;&gt;"),"")</f>
        <v/>
      </c>
    </row>
    <row r="79" spans="1:10" x14ac:dyDescent="0.25">
      <c r="A79" s="34" t="s">
        <v>52</v>
      </c>
      <c r="B79" s="13">
        <f>IF($A79="","",IFERROR(INDEX(Stammdaten!$B$4:$B$9,MATCH($A79,Stammdaten!$A$4:$A$9,0)),""))</f>
        <v>46137</v>
      </c>
      <c r="C79" s="12" t="s">
        <v>98</v>
      </c>
      <c r="D79" s="12" t="s">
        <v>106</v>
      </c>
      <c r="E79" s="12" t="s">
        <v>48</v>
      </c>
      <c r="F79" s="34" t="s">
        <v>49</v>
      </c>
      <c r="G79" s="35"/>
      <c r="H79" s="36">
        <f>IF($D79="","",IF($F79="",0,IF($G79&lt;&gt;"",$G79,IFERROR(INDEX(Stammdaten!$G$4:$G$9,MATCH($A79,Stammdaten!$A$4:$A$9,0)),0))))</f>
        <v>5</v>
      </c>
      <c r="I79" s="33"/>
      <c r="J79" s="12" t="str">
        <f>IF(AND($D79&lt;&gt;"",$I79&lt;&gt;""),COUNTIFS($D$2:$D79,"&lt;&gt;",$I$2:$I79,"&lt;&gt;"),"")</f>
        <v/>
      </c>
    </row>
    <row r="80" spans="1:10" x14ac:dyDescent="0.25">
      <c r="A80" s="30" t="s">
        <v>45</v>
      </c>
      <c r="B80" s="16">
        <f>IF($A80="","",IFERROR(INDEX(Stammdaten!$B$4:$B$9,MATCH($A80,Stammdaten!$A$4:$A$9,0)),""))</f>
        <v>46130</v>
      </c>
      <c r="C80" s="15" t="s">
        <v>98</v>
      </c>
      <c r="D80" s="15" t="s">
        <v>107</v>
      </c>
      <c r="E80" s="15" t="s">
        <v>54</v>
      </c>
      <c r="F80" s="30" t="s">
        <v>49</v>
      </c>
      <c r="G80" s="31"/>
      <c r="H80" s="32">
        <f>IF($D80="","",IF($F80="",0,IF($G80&lt;&gt;"",$G80,IFERROR(INDEX(Stammdaten!$G$4:$G$9,MATCH($A80,Stammdaten!$A$4:$A$9,0)),0))))</f>
        <v>5</v>
      </c>
      <c r="I80" s="33"/>
      <c r="J80" s="15" t="str">
        <f>IF(AND($D80&lt;&gt;"",$I80&lt;&gt;""),COUNTIFS($D$2:$D80,"&lt;&gt;",$I$2:$I80,"&lt;&gt;"),"")</f>
        <v/>
      </c>
    </row>
    <row r="81" spans="1:10" x14ac:dyDescent="0.25">
      <c r="A81" s="34" t="s">
        <v>50</v>
      </c>
      <c r="B81" s="13">
        <f>IF($A81="","",IFERROR(INDEX(Stammdaten!$B$4:$B$9,MATCH($A81,Stammdaten!$A$4:$A$9,0)),""))</f>
        <v>46130</v>
      </c>
      <c r="C81" s="12" t="s">
        <v>98</v>
      </c>
      <c r="D81" s="12" t="s">
        <v>107</v>
      </c>
      <c r="E81" s="12" t="s">
        <v>54</v>
      </c>
      <c r="F81" s="34" t="s">
        <v>49</v>
      </c>
      <c r="G81" s="35"/>
      <c r="H81" s="36">
        <f>IF($D81="","",IF($F81="",0,IF($G81&lt;&gt;"",$G81,IFERROR(INDEX(Stammdaten!$G$4:$G$9,MATCH($A81,Stammdaten!$A$4:$A$9,0)),0))))</f>
        <v>5</v>
      </c>
      <c r="I81" s="33"/>
      <c r="J81" s="12" t="str">
        <f>IF(AND($D81&lt;&gt;"",$I81&lt;&gt;""),COUNTIFS($D$2:$D81,"&lt;&gt;",$I$2:$I81,"&lt;&gt;"),"")</f>
        <v/>
      </c>
    </row>
    <row r="82" spans="1:10" x14ac:dyDescent="0.25">
      <c r="A82" s="30" t="s">
        <v>51</v>
      </c>
      <c r="B82" s="16">
        <f>IF($A82="","",IFERROR(INDEX(Stammdaten!$B$4:$B$9,MATCH($A82,Stammdaten!$A$4:$A$9,0)),""))</f>
        <v>46131</v>
      </c>
      <c r="C82" s="15" t="s">
        <v>98</v>
      </c>
      <c r="D82" s="15" t="s">
        <v>106</v>
      </c>
      <c r="E82" s="15" t="s">
        <v>48</v>
      </c>
      <c r="F82" s="30" t="s">
        <v>49</v>
      </c>
      <c r="G82" s="31"/>
      <c r="H82" s="32">
        <f>IF($D82="","",IF($F82="",0,IF($G82&lt;&gt;"",$G82,IFERROR(INDEX(Stammdaten!$G$4:$G$9,MATCH($A82,Stammdaten!$A$4:$A$9,0)),0))))</f>
        <v>3</v>
      </c>
      <c r="I82" s="33"/>
      <c r="J82" s="15" t="str">
        <f>IF(AND($D82&lt;&gt;"",$I82&lt;&gt;""),COUNTIFS($D$2:$D82,"&lt;&gt;",$I$2:$I82,"&lt;&gt;"),"")</f>
        <v/>
      </c>
    </row>
    <row r="83" spans="1:10" x14ac:dyDescent="0.25">
      <c r="A83" s="34" t="s">
        <v>52</v>
      </c>
      <c r="B83" s="13">
        <f>IF($A83="","",IFERROR(INDEX(Stammdaten!$B$4:$B$9,MATCH($A83,Stammdaten!$A$4:$A$9,0)),""))</f>
        <v>46137</v>
      </c>
      <c r="C83" s="12" t="s">
        <v>98</v>
      </c>
      <c r="D83" s="12" t="s">
        <v>107</v>
      </c>
      <c r="E83" s="12" t="s">
        <v>54</v>
      </c>
      <c r="F83" s="34" t="s">
        <v>49</v>
      </c>
      <c r="G83" s="35"/>
      <c r="H83" s="36">
        <f>IF($D83="","",IF($F83="",0,IF($G83&lt;&gt;"",$G83,IFERROR(INDEX(Stammdaten!$G$4:$G$9,MATCH($A83,Stammdaten!$A$4:$A$9,0)),0))))</f>
        <v>5</v>
      </c>
      <c r="I83" s="33"/>
      <c r="J83" s="12" t="str">
        <f>IF(AND($D83&lt;&gt;"",$I83&lt;&gt;""),COUNTIFS($D$2:$D83,"&lt;&gt;",$I$2:$I83,"&lt;&gt;"),"")</f>
        <v/>
      </c>
    </row>
    <row r="84" spans="1:10" x14ac:dyDescent="0.25">
      <c r="A84" s="30" t="s">
        <v>45</v>
      </c>
      <c r="B84" s="16">
        <f>IF($A84="","",IFERROR(INDEX(Stammdaten!$B$4:$B$9,MATCH($A84,Stammdaten!$A$4:$A$9,0)),""))</f>
        <v>46130</v>
      </c>
      <c r="C84" s="15" t="s">
        <v>98</v>
      </c>
      <c r="D84" s="15" t="s">
        <v>108</v>
      </c>
      <c r="E84" s="15" t="s">
        <v>54</v>
      </c>
      <c r="F84" s="30" t="s">
        <v>49</v>
      </c>
      <c r="G84" s="31"/>
      <c r="H84" s="32">
        <f>IF($D84="","",IF($F84="",0,IF($G84&lt;&gt;"",$G84,IFERROR(INDEX(Stammdaten!$G$4:$G$9,MATCH($A84,Stammdaten!$A$4:$A$9,0)),0))))</f>
        <v>5</v>
      </c>
      <c r="I84" s="33"/>
      <c r="J84" s="15" t="str">
        <f>IF(AND($D84&lt;&gt;"",$I84&lt;&gt;""),COUNTIFS($D$2:$D84,"&lt;&gt;",$I$2:$I84,"&lt;&gt;"),"")</f>
        <v/>
      </c>
    </row>
    <row r="85" spans="1:10" x14ac:dyDescent="0.25">
      <c r="A85" s="34" t="s">
        <v>50</v>
      </c>
      <c r="B85" s="13">
        <f>IF($A85="","",IFERROR(INDEX(Stammdaten!$B$4:$B$9,MATCH($A85,Stammdaten!$A$4:$A$9,0)),""))</f>
        <v>46130</v>
      </c>
      <c r="C85" s="12" t="s">
        <v>98</v>
      </c>
      <c r="D85" s="12" t="s">
        <v>108</v>
      </c>
      <c r="E85" s="12" t="s">
        <v>54</v>
      </c>
      <c r="F85" s="34" t="s">
        <v>49</v>
      </c>
      <c r="G85" s="35"/>
      <c r="H85" s="36">
        <f>IF($D85="","",IF($F85="",0,IF($G85&lt;&gt;"",$G85,IFERROR(INDEX(Stammdaten!$G$4:$G$9,MATCH($A85,Stammdaten!$A$4:$A$9,0)),0))))</f>
        <v>5</v>
      </c>
      <c r="I85" s="33"/>
      <c r="J85" s="12" t="str">
        <f>IF(AND($D85&lt;&gt;"",$I85&lt;&gt;""),COUNTIFS($D$2:$D85,"&lt;&gt;",$I$2:$I85,"&lt;&gt;"),"")</f>
        <v/>
      </c>
    </row>
    <row r="86" spans="1:10" x14ac:dyDescent="0.25">
      <c r="A86" s="30" t="s">
        <v>51</v>
      </c>
      <c r="B86" s="16">
        <f>IF($A86="","",IFERROR(INDEX(Stammdaten!$B$4:$B$9,MATCH($A86,Stammdaten!$A$4:$A$9,0)),""))</f>
        <v>46131</v>
      </c>
      <c r="C86" s="15" t="s">
        <v>98</v>
      </c>
      <c r="D86" s="15" t="s">
        <v>108</v>
      </c>
      <c r="E86" s="15" t="s">
        <v>54</v>
      </c>
      <c r="F86" s="30" t="s">
        <v>49</v>
      </c>
      <c r="G86" s="31"/>
      <c r="H86" s="32">
        <f>IF($D86="","",IF($F86="",0,IF($G86&lt;&gt;"",$G86,IFERROR(INDEX(Stammdaten!$G$4:$G$9,MATCH($A86,Stammdaten!$A$4:$A$9,0)),0))))</f>
        <v>3</v>
      </c>
      <c r="I86" s="33"/>
      <c r="J86" s="15" t="str">
        <f>IF(AND($D86&lt;&gt;"",$I86&lt;&gt;""),COUNTIFS($D$2:$D86,"&lt;&gt;",$I$2:$I86,"&lt;&gt;"),"")</f>
        <v/>
      </c>
    </row>
    <row r="87" spans="1:10" x14ac:dyDescent="0.25">
      <c r="A87" s="34" t="s">
        <v>52</v>
      </c>
      <c r="B87" s="13">
        <f>IF($A87="","",IFERROR(INDEX(Stammdaten!$B$4:$B$9,MATCH($A87,Stammdaten!$A$4:$A$9,0)),""))</f>
        <v>46137</v>
      </c>
      <c r="C87" s="12" t="s">
        <v>98</v>
      </c>
      <c r="D87" s="12" t="s">
        <v>109</v>
      </c>
      <c r="E87" s="12" t="s">
        <v>48</v>
      </c>
      <c r="F87" s="34" t="s">
        <v>49</v>
      </c>
      <c r="G87" s="35"/>
      <c r="H87" s="36">
        <f>IF($D87="","",IF($F87="",0,IF($G87&lt;&gt;"",$G87,IFERROR(INDEX(Stammdaten!$G$4:$G$9,MATCH($A87,Stammdaten!$A$4:$A$9,0)),0))))</f>
        <v>5</v>
      </c>
      <c r="I87" s="33"/>
      <c r="J87" s="12" t="str">
        <f>IF(AND($D87&lt;&gt;"",$I87&lt;&gt;""),COUNTIFS($D$2:$D87,"&lt;&gt;",$I$2:$I87,"&lt;&gt;"),"")</f>
        <v/>
      </c>
    </row>
    <row r="88" spans="1:10" x14ac:dyDescent="0.25">
      <c r="A88" s="30" t="s">
        <v>45</v>
      </c>
      <c r="B88" s="16">
        <f>IF($A88="","",IFERROR(INDEX(Stammdaten!$B$4:$B$9,MATCH($A88,Stammdaten!$A$4:$A$9,0)),""))</f>
        <v>46130</v>
      </c>
      <c r="C88" s="15" t="s">
        <v>98</v>
      </c>
      <c r="D88" s="15" t="s">
        <v>110</v>
      </c>
      <c r="E88" s="15" t="s">
        <v>63</v>
      </c>
      <c r="F88" s="30" t="s">
        <v>49</v>
      </c>
      <c r="G88" s="31"/>
      <c r="H88" s="32">
        <f>IF($D88="","",IF($F88="",0,IF($G88&lt;&gt;"",$G88,IFERROR(INDEX(Stammdaten!$G$4:$G$9,MATCH($A88,Stammdaten!$A$4:$A$9,0)),0))))</f>
        <v>5</v>
      </c>
      <c r="I88" s="33"/>
      <c r="J88" s="15" t="str">
        <f>IF(AND($D88&lt;&gt;"",$I88&lt;&gt;""),COUNTIFS($D$2:$D88,"&lt;&gt;",$I$2:$I88,"&lt;&gt;"),"")</f>
        <v/>
      </c>
    </row>
    <row r="89" spans="1:10" x14ac:dyDescent="0.25">
      <c r="A89" s="34" t="s">
        <v>51</v>
      </c>
      <c r="B89" s="13">
        <f>IF($A89="","",IFERROR(INDEX(Stammdaten!$B$4:$B$9,MATCH($A89,Stammdaten!$A$4:$A$9,0)),""))</f>
        <v>46131</v>
      </c>
      <c r="C89" s="12" t="s">
        <v>98</v>
      </c>
      <c r="D89" s="12" t="s">
        <v>110</v>
      </c>
      <c r="E89" s="12" t="s">
        <v>63</v>
      </c>
      <c r="F89" s="34" t="s">
        <v>49</v>
      </c>
      <c r="G89" s="35"/>
      <c r="H89" s="36">
        <f>IF($D89="","",IF($F89="",0,IF($G89&lt;&gt;"",$G89,IFERROR(INDEX(Stammdaten!$G$4:$G$9,MATCH($A89,Stammdaten!$A$4:$A$9,0)),0))))</f>
        <v>3</v>
      </c>
      <c r="I89" s="33"/>
      <c r="J89" s="12" t="str">
        <f>IF(AND($D89&lt;&gt;"",$I89&lt;&gt;""),COUNTIFS($D$2:$D89,"&lt;&gt;",$I$2:$I89,"&lt;&gt;"),"")</f>
        <v/>
      </c>
    </row>
    <row r="90" spans="1:10" x14ac:dyDescent="0.25">
      <c r="A90" s="30" t="s">
        <v>52</v>
      </c>
      <c r="B90" s="16">
        <f>IF($A90="","",IFERROR(INDEX(Stammdaten!$B$4:$B$9,MATCH($A90,Stammdaten!$A$4:$A$9,0)),""))</f>
        <v>46137</v>
      </c>
      <c r="C90" s="15" t="s">
        <v>98</v>
      </c>
      <c r="D90" s="15" t="s">
        <v>111</v>
      </c>
      <c r="E90" s="15" t="s">
        <v>48</v>
      </c>
      <c r="F90" s="30" t="s">
        <v>49</v>
      </c>
      <c r="G90" s="31"/>
      <c r="H90" s="32">
        <f>IF($D90="","",IF($F90="",0,IF($G90&lt;&gt;"",$G90,IFERROR(INDEX(Stammdaten!$G$4:$G$9,MATCH($A90,Stammdaten!$A$4:$A$9,0)),0))))</f>
        <v>5</v>
      </c>
      <c r="I90" s="33"/>
      <c r="J90" s="15" t="str">
        <f>IF(AND($D90&lt;&gt;"",$I90&lt;&gt;""),COUNTIFS($D$2:$D90,"&lt;&gt;",$I$2:$I90,"&lt;&gt;"),"")</f>
        <v/>
      </c>
    </row>
    <row r="91" spans="1:10" x14ac:dyDescent="0.25">
      <c r="A91" s="34" t="s">
        <v>45</v>
      </c>
      <c r="B91" s="13">
        <f>IF($A91="","",IFERROR(INDEX(Stammdaten!$B$4:$B$9,MATCH($A91,Stammdaten!$A$4:$A$9,0)),""))</f>
        <v>46130</v>
      </c>
      <c r="C91" s="12" t="s">
        <v>98</v>
      </c>
      <c r="D91" s="12" t="s">
        <v>111</v>
      </c>
      <c r="E91" s="12" t="s">
        <v>48</v>
      </c>
      <c r="F91" s="34" t="s">
        <v>49</v>
      </c>
      <c r="G91" s="35"/>
      <c r="H91" s="36">
        <f>IF($D91="","",IF($F91="",0,IF($G91&lt;&gt;"",$G91,IFERROR(INDEX(Stammdaten!$G$4:$G$9,MATCH($A91,Stammdaten!$A$4:$A$9,0)),0))))</f>
        <v>5</v>
      </c>
      <c r="I91" s="33"/>
      <c r="J91" s="12" t="str">
        <f>IF(AND($D91&lt;&gt;"",$I91&lt;&gt;""),COUNTIFS($D$2:$D91,"&lt;&gt;",$I$2:$I91,"&lt;&gt;"),"")</f>
        <v/>
      </c>
    </row>
    <row r="92" spans="1:10" x14ac:dyDescent="0.25">
      <c r="A92" s="30" t="s">
        <v>51</v>
      </c>
      <c r="B92" s="16">
        <f>IF($A92="","",IFERROR(INDEX(Stammdaten!$B$4:$B$9,MATCH($A92,Stammdaten!$A$4:$A$9,0)),""))</f>
        <v>46131</v>
      </c>
      <c r="C92" s="15" t="s">
        <v>98</v>
      </c>
      <c r="D92" s="15" t="s">
        <v>111</v>
      </c>
      <c r="E92" s="15" t="s">
        <v>48</v>
      </c>
      <c r="F92" s="30" t="s">
        <v>49</v>
      </c>
      <c r="G92" s="31"/>
      <c r="H92" s="32">
        <f>IF($D92="","",IF($F92="",0,IF($G92&lt;&gt;"",$G92,IFERROR(INDEX(Stammdaten!$G$4:$G$9,MATCH($A92,Stammdaten!$A$4:$A$9,0)),0))))</f>
        <v>3</v>
      </c>
      <c r="I92" s="33"/>
      <c r="J92" s="15" t="str">
        <f>IF(AND($D92&lt;&gt;"",$I92&lt;&gt;""),COUNTIFS($D$2:$D92,"&lt;&gt;",$I$2:$I92,"&lt;&gt;"),"")</f>
        <v/>
      </c>
    </row>
    <row r="93" spans="1:10" x14ac:dyDescent="0.25">
      <c r="A93" s="34" t="s">
        <v>45</v>
      </c>
      <c r="B93" s="13">
        <f>IF($A93="","",IFERROR(INDEX(Stammdaten!$B$4:$B$9,MATCH($A93,Stammdaten!$A$4:$A$9,0)),""))</f>
        <v>46130</v>
      </c>
      <c r="C93" s="12" t="s">
        <v>98</v>
      </c>
      <c r="D93" s="12" t="s">
        <v>109</v>
      </c>
      <c r="E93" s="12" t="s">
        <v>48</v>
      </c>
      <c r="F93" s="34" t="s">
        <v>49</v>
      </c>
      <c r="G93" s="35"/>
      <c r="H93" s="36">
        <f>IF($D93="","",IF($F93="",0,IF($G93&lt;&gt;"",$G93,IFERROR(INDEX(Stammdaten!$G$4:$G$9,MATCH($A93,Stammdaten!$A$4:$A$9,0)),0))))</f>
        <v>5</v>
      </c>
      <c r="I93" s="33"/>
      <c r="J93" s="12" t="str">
        <f>IF(AND($D93&lt;&gt;"",$I93&lt;&gt;""),COUNTIFS($D$2:$D93,"&lt;&gt;",$I$2:$I93,"&lt;&gt;"),"")</f>
        <v/>
      </c>
    </row>
    <row r="94" spans="1:10" x14ac:dyDescent="0.25">
      <c r="A94" s="30" t="s">
        <v>51</v>
      </c>
      <c r="B94" s="16">
        <f>IF($A94="","",IFERROR(INDEX(Stammdaten!$B$4:$B$9,MATCH($A94,Stammdaten!$A$4:$A$9,0)),""))</f>
        <v>46131</v>
      </c>
      <c r="C94" s="15" t="s">
        <v>98</v>
      </c>
      <c r="D94" s="15" t="s">
        <v>96</v>
      </c>
      <c r="E94" s="15" t="s">
        <v>54</v>
      </c>
      <c r="F94" s="30" t="s">
        <v>49</v>
      </c>
      <c r="G94" s="31"/>
      <c r="H94" s="32">
        <f>IF($D94="","",IF($F94="",0,IF($G94&lt;&gt;"",$G94,IFERROR(INDEX(Stammdaten!$G$4:$G$9,MATCH($A94,Stammdaten!$A$4:$A$9,0)),0))))</f>
        <v>3</v>
      </c>
      <c r="I94" s="33"/>
      <c r="J94" s="15" t="str">
        <f>IF(AND($D94&lt;&gt;"",$I94&lt;&gt;""),COUNTIFS($D$2:$D94,"&lt;&gt;",$I$2:$I94,"&lt;&gt;"),"")</f>
        <v/>
      </c>
    </row>
    <row r="95" spans="1:10" x14ac:dyDescent="0.25">
      <c r="A95" s="34" t="s">
        <v>45</v>
      </c>
      <c r="B95" s="13">
        <f>IF($A95="","",IFERROR(INDEX(Stammdaten!$B$4:$B$9,MATCH($A95,Stammdaten!$A$4:$A$9,0)),""))</f>
        <v>46130</v>
      </c>
      <c r="C95" s="12" t="s">
        <v>98</v>
      </c>
      <c r="D95" s="12" t="s">
        <v>73</v>
      </c>
      <c r="E95" s="12" t="s">
        <v>48</v>
      </c>
      <c r="F95" s="34" t="s">
        <v>49</v>
      </c>
      <c r="G95" s="35"/>
      <c r="H95" s="36">
        <f>IF($D95="","",IF($F95="",0,IF($G95&lt;&gt;"",$G95,IFERROR(INDEX(Stammdaten!$G$4:$G$9,MATCH($A95,Stammdaten!$A$4:$A$9,0)),0))))</f>
        <v>5</v>
      </c>
      <c r="I95" s="33"/>
      <c r="J95" s="12" t="str">
        <f>IF(AND($D95&lt;&gt;"",$I95&lt;&gt;""),COUNTIFS($D$2:$D95,"&lt;&gt;",$I$2:$I95,"&lt;&gt;"),"")</f>
        <v/>
      </c>
    </row>
    <row r="96" spans="1:10" x14ac:dyDescent="0.25">
      <c r="A96" s="30" t="s">
        <v>51</v>
      </c>
      <c r="B96" s="16">
        <f>IF($A96="","",IFERROR(INDEX(Stammdaten!$B$4:$B$9,MATCH($A96,Stammdaten!$A$4:$A$9,0)),""))</f>
        <v>46131</v>
      </c>
      <c r="C96" s="15" t="s">
        <v>98</v>
      </c>
      <c r="D96" s="15" t="s">
        <v>76</v>
      </c>
      <c r="E96" s="15" t="s">
        <v>48</v>
      </c>
      <c r="F96" s="30" t="s">
        <v>67</v>
      </c>
      <c r="G96" s="31"/>
      <c r="H96" s="32">
        <f>IF($D96="","",IF($F96="",0,IF($G96&lt;&gt;"",$G96,IFERROR(INDEX(Stammdaten!$G$4:$G$9,MATCH($A96,Stammdaten!$A$4:$A$9,0)),0))))</f>
        <v>3</v>
      </c>
      <c r="I96" s="33"/>
      <c r="J96" s="15" t="str">
        <f>IF(AND($D96&lt;&gt;"",$I96&lt;&gt;""),COUNTIFS($D$2:$D96,"&lt;&gt;",$I$2:$I96,"&lt;&gt;"),"")</f>
        <v/>
      </c>
    </row>
    <row r="97" spans="1:10" x14ac:dyDescent="0.25">
      <c r="A97" s="34" t="s">
        <v>45</v>
      </c>
      <c r="B97" s="13">
        <f>IF($A97="","",IFERROR(INDEX(Stammdaten!$B$4:$B$9,MATCH($A97,Stammdaten!$A$4:$A$9,0)),""))</f>
        <v>46130</v>
      </c>
      <c r="C97" s="12" t="s">
        <v>98</v>
      </c>
      <c r="D97" s="12" t="s">
        <v>92</v>
      </c>
      <c r="E97" s="12" t="s">
        <v>63</v>
      </c>
      <c r="F97" s="34" t="s">
        <v>49</v>
      </c>
      <c r="G97" s="35"/>
      <c r="H97" s="36">
        <f>IF($D97="","",IF($F97="",0,IF($G97&lt;&gt;"",$G97,IFERROR(INDEX(Stammdaten!$G$4:$G$9,MATCH($A97,Stammdaten!$A$4:$A$9,0)),0))))</f>
        <v>5</v>
      </c>
      <c r="I97" s="33"/>
      <c r="J97" s="12" t="str">
        <f>IF(AND($D97&lt;&gt;"",$I97&lt;&gt;""),COUNTIFS($D$2:$D97,"&lt;&gt;",$I$2:$I97,"&lt;&gt;"),"")</f>
        <v/>
      </c>
    </row>
    <row r="98" spans="1:10" x14ac:dyDescent="0.25">
      <c r="A98" s="30" t="s">
        <v>51</v>
      </c>
      <c r="B98" s="16">
        <f>IF($A98="","",IFERROR(INDEX(Stammdaten!$B$4:$B$9,MATCH($A98,Stammdaten!$A$4:$A$9,0)),""))</f>
        <v>46131</v>
      </c>
      <c r="C98" s="15" t="s">
        <v>98</v>
      </c>
      <c r="D98" s="15" t="s">
        <v>74</v>
      </c>
      <c r="E98" s="15" t="s">
        <v>54</v>
      </c>
      <c r="F98" s="30" t="s">
        <v>67</v>
      </c>
      <c r="G98" s="31"/>
      <c r="H98" s="32">
        <f>IF($D98="","",IF($F98="",0,IF($G98&lt;&gt;"",$G98,IFERROR(INDEX(Stammdaten!$G$4:$G$9,MATCH($A98,Stammdaten!$A$4:$A$9,0)),0))))</f>
        <v>3</v>
      </c>
      <c r="I98" s="33"/>
      <c r="J98" s="15" t="str">
        <f>IF(AND($D98&lt;&gt;"",$I98&lt;&gt;""),COUNTIFS($D$2:$D98,"&lt;&gt;",$I$2:$I98,"&lt;&gt;"),"")</f>
        <v/>
      </c>
    </row>
    <row r="99" spans="1:10" ht="36" x14ac:dyDescent="0.25">
      <c r="A99" s="37" t="s">
        <v>112</v>
      </c>
      <c r="B99" s="38">
        <f>IF($A99="","",IFERROR(INDEX(Stammdaten!$B$4:$B$9,MATCH($A99,Stammdaten!$A$4:$A$9,0)),""))</f>
        <v>45773</v>
      </c>
      <c r="C99" s="39" t="s">
        <v>98</v>
      </c>
      <c r="D99" s="39" t="s">
        <v>99</v>
      </c>
      <c r="E99" s="39" t="s">
        <v>48</v>
      </c>
      <c r="F99" s="37" t="s">
        <v>49</v>
      </c>
      <c r="G99" s="40"/>
      <c r="H99" s="41">
        <f>IF($D99="","",IF($F99="",0,IF($G99&lt;&gt;"",$G99,IFERROR(INDEX(Stammdaten!$G$4:$G$9,MATCH($A99,Stammdaten!$A$4:$A$9,0)),0))))</f>
        <v>5</v>
      </c>
      <c r="I99" s="42" t="s">
        <v>113</v>
      </c>
      <c r="J99" s="39">
        <f>IF(AND($D99&lt;&gt;"",$I99&lt;&gt;""),COUNTIFS($D$2:$D99,"&lt;&gt;",$I$2:$I99,"&lt;&gt;"),"")</f>
        <v>1</v>
      </c>
    </row>
    <row r="100" spans="1:10" x14ac:dyDescent="0.25">
      <c r="A100" s="43"/>
      <c r="B100" s="13" t="str">
        <f>IF($A100="","",IFERROR(INDEX(Stammdaten!$B$4:$B$9,MATCH($A100,Stammdaten!$A$4:$A$9,0)),""))</f>
        <v/>
      </c>
      <c r="C100" s="44"/>
      <c r="D100" s="44"/>
      <c r="E100" s="44"/>
      <c r="F100" s="43"/>
      <c r="G100" s="45"/>
      <c r="H100" s="36" t="str">
        <f>IF($D100="","",IF($F100="",0,IF($G100&lt;&gt;"",$G100,IFERROR(INDEX(Stammdaten!$G$4:$G$9,MATCH($A100,Stammdaten!$A$4:$A$9,0)),0))))</f>
        <v/>
      </c>
      <c r="I100" s="33"/>
      <c r="J100" s="12" t="str">
        <f>IF(AND($D100&lt;&gt;"",$I100&lt;&gt;""),COUNTIFS($D$2:$D100,"&lt;&gt;",$I$2:$I100,"&lt;&gt;"),"")</f>
        <v/>
      </c>
    </row>
    <row r="101" spans="1:10" x14ac:dyDescent="0.25">
      <c r="A101" s="43"/>
      <c r="B101" s="13" t="str">
        <f>IF($A101="","",IFERROR(INDEX(Stammdaten!$B$4:$B$9,MATCH($A101,Stammdaten!$A$4:$A$9,0)),""))</f>
        <v/>
      </c>
      <c r="C101" s="44"/>
      <c r="D101" s="44"/>
      <c r="E101" s="44"/>
      <c r="F101" s="43"/>
      <c r="G101" s="45"/>
      <c r="H101" s="36" t="str">
        <f>IF($D101="","",IF($F101="",0,IF($G101&lt;&gt;"",$G101,IFERROR(INDEX(Stammdaten!$G$4:$G$9,MATCH($A101,Stammdaten!$A$4:$A$9,0)),0))))</f>
        <v/>
      </c>
      <c r="I101" s="33"/>
      <c r="J101" s="12" t="str">
        <f>IF(AND($D101&lt;&gt;"",$I101&lt;&gt;""),COUNTIFS($D$2:$D101,"&lt;&gt;",$I$2:$I101,"&lt;&gt;"),"")</f>
        <v/>
      </c>
    </row>
    <row r="102" spans="1:10" x14ac:dyDescent="0.25">
      <c r="A102" s="43"/>
      <c r="B102" s="13" t="str">
        <f>IF($A102="","",IFERROR(INDEX(Stammdaten!$B$4:$B$9,MATCH($A102,Stammdaten!$A$4:$A$9,0)),""))</f>
        <v/>
      </c>
      <c r="C102" s="44"/>
      <c r="D102" s="44"/>
      <c r="E102" s="44"/>
      <c r="F102" s="43"/>
      <c r="G102" s="45"/>
      <c r="H102" s="36" t="str">
        <f>IF($D102="","",IF($F102="",0,IF($G102&lt;&gt;"",$G102,IFERROR(INDEX(Stammdaten!$G$4:$G$9,MATCH($A102,Stammdaten!$A$4:$A$9,0)),0))))</f>
        <v/>
      </c>
      <c r="I102" s="33"/>
      <c r="J102" s="12" t="str">
        <f>IF(AND($D102&lt;&gt;"",$I102&lt;&gt;""),COUNTIFS($D$2:$D102,"&lt;&gt;",$I$2:$I102,"&lt;&gt;"),"")</f>
        <v/>
      </c>
    </row>
    <row r="103" spans="1:10" x14ac:dyDescent="0.25">
      <c r="A103" s="43"/>
      <c r="B103" s="13" t="str">
        <f>IF($A103="","",IFERROR(INDEX(Stammdaten!$B$4:$B$9,MATCH($A103,Stammdaten!$A$4:$A$9,0)),""))</f>
        <v/>
      </c>
      <c r="C103" s="44"/>
      <c r="D103" s="44"/>
      <c r="E103" s="44"/>
      <c r="F103" s="43"/>
      <c r="G103" s="45"/>
      <c r="H103" s="36" t="str">
        <f>IF($D103="","",IF($F103="",0,IF($G103&lt;&gt;"",$G103,IFERROR(INDEX(Stammdaten!$G$4:$G$9,MATCH($A103,Stammdaten!$A$4:$A$9,0)),0))))</f>
        <v/>
      </c>
      <c r="I103" s="33"/>
      <c r="J103" s="12" t="str">
        <f>IF(AND($D103&lt;&gt;"",$I103&lt;&gt;""),COUNTIFS($D$2:$D103,"&lt;&gt;",$I$2:$I103,"&lt;&gt;"),"")</f>
        <v/>
      </c>
    </row>
    <row r="104" spans="1:10" x14ac:dyDescent="0.25">
      <c r="A104" s="43"/>
      <c r="B104" s="13" t="str">
        <f>IF($A104="","",IFERROR(INDEX(Stammdaten!$B$4:$B$9,MATCH($A104,Stammdaten!$A$4:$A$9,0)),""))</f>
        <v/>
      </c>
      <c r="C104" s="44"/>
      <c r="D104" s="44"/>
      <c r="E104" s="44"/>
      <c r="F104" s="43"/>
      <c r="G104" s="45"/>
      <c r="H104" s="36" t="str">
        <f>IF($D104="","",IF($F104="",0,IF($G104&lt;&gt;"",$G104,IFERROR(INDEX(Stammdaten!$G$4:$G$9,MATCH($A104,Stammdaten!$A$4:$A$9,0)),0))))</f>
        <v/>
      </c>
      <c r="I104" s="33"/>
      <c r="J104" s="12" t="str">
        <f>IF(AND($D104&lt;&gt;"",$I104&lt;&gt;""),COUNTIFS($D$2:$D104,"&lt;&gt;",$I$2:$I104,"&lt;&gt;"),"")</f>
        <v/>
      </c>
    </row>
    <row r="105" spans="1:10" x14ac:dyDescent="0.25">
      <c r="A105" s="43"/>
      <c r="B105" s="13" t="str">
        <f>IF($A105="","",IFERROR(INDEX(Stammdaten!$B$4:$B$9,MATCH($A105,Stammdaten!$A$4:$A$9,0)),""))</f>
        <v/>
      </c>
      <c r="C105" s="44"/>
      <c r="D105" s="44"/>
      <c r="E105" s="44"/>
      <c r="F105" s="43"/>
      <c r="G105" s="45"/>
      <c r="H105" s="36" t="str">
        <f>IF($D105="","",IF($F105="",0,IF($G105&lt;&gt;"",$G105,IFERROR(INDEX(Stammdaten!$G$4:$G$9,MATCH($A105,Stammdaten!$A$4:$A$9,0)),0))))</f>
        <v/>
      </c>
      <c r="I105" s="33"/>
      <c r="J105" s="12" t="str">
        <f>IF(AND($D105&lt;&gt;"",$I105&lt;&gt;""),COUNTIFS($D$2:$D105,"&lt;&gt;",$I$2:$I105,"&lt;&gt;"),"")</f>
        <v/>
      </c>
    </row>
    <row r="106" spans="1:10" x14ac:dyDescent="0.25">
      <c r="A106" s="43"/>
      <c r="B106" s="13" t="str">
        <f>IF($A106="","",IFERROR(INDEX(Stammdaten!$B$4:$B$9,MATCH($A106,Stammdaten!$A$4:$A$9,0)),""))</f>
        <v/>
      </c>
      <c r="C106" s="44"/>
      <c r="D106" s="44"/>
      <c r="E106" s="44"/>
      <c r="F106" s="43"/>
      <c r="G106" s="45"/>
      <c r="H106" s="36" t="str">
        <f>IF($D106="","",IF($F106="",0,IF($G106&lt;&gt;"",$G106,IFERROR(INDEX(Stammdaten!$G$4:$G$9,MATCH($A106,Stammdaten!$A$4:$A$9,0)),0))))</f>
        <v/>
      </c>
      <c r="I106" s="33"/>
      <c r="J106" s="12" t="str">
        <f>IF(AND($D106&lt;&gt;"",$I106&lt;&gt;""),COUNTIFS($D$2:$D106,"&lt;&gt;",$I$2:$I106,"&lt;&gt;"),"")</f>
        <v/>
      </c>
    </row>
    <row r="107" spans="1:10" x14ac:dyDescent="0.25">
      <c r="A107" s="43"/>
      <c r="B107" s="13" t="str">
        <f>IF($A107="","",IFERROR(INDEX(Stammdaten!$B$4:$B$9,MATCH($A107,Stammdaten!$A$4:$A$9,0)),""))</f>
        <v/>
      </c>
      <c r="C107" s="44"/>
      <c r="D107" s="44"/>
      <c r="E107" s="44"/>
      <c r="F107" s="43"/>
      <c r="G107" s="45"/>
      <c r="H107" s="36" t="str">
        <f>IF($D107="","",IF($F107="",0,IF($G107&lt;&gt;"",$G107,IFERROR(INDEX(Stammdaten!$G$4:$G$9,MATCH($A107,Stammdaten!$A$4:$A$9,0)),0))))</f>
        <v/>
      </c>
      <c r="I107" s="33"/>
      <c r="J107" s="12" t="str">
        <f>IF(AND($D107&lt;&gt;"",$I107&lt;&gt;""),COUNTIFS($D$2:$D107,"&lt;&gt;",$I$2:$I107,"&lt;&gt;"),"")</f>
        <v/>
      </c>
    </row>
    <row r="108" spans="1:10" x14ac:dyDescent="0.25">
      <c r="A108" s="43"/>
      <c r="B108" s="13" t="str">
        <f>IF($A108="","",IFERROR(INDEX(Stammdaten!$B$4:$B$9,MATCH($A108,Stammdaten!$A$4:$A$9,0)),""))</f>
        <v/>
      </c>
      <c r="C108" s="44"/>
      <c r="D108" s="44"/>
      <c r="E108" s="44"/>
      <c r="F108" s="43"/>
      <c r="G108" s="45"/>
      <c r="H108" s="36" t="str">
        <f>IF($D108="","",IF($F108="",0,IF($G108&lt;&gt;"",$G108,IFERROR(INDEX(Stammdaten!$G$4:$G$9,MATCH($A108,Stammdaten!$A$4:$A$9,0)),0))))</f>
        <v/>
      </c>
      <c r="I108" s="33"/>
      <c r="J108" s="12" t="str">
        <f>IF(AND($D108&lt;&gt;"",$I108&lt;&gt;""),COUNTIFS($D$2:$D108,"&lt;&gt;",$I$2:$I108,"&lt;&gt;"),"")</f>
        <v/>
      </c>
    </row>
    <row r="109" spans="1:10" x14ac:dyDescent="0.25">
      <c r="A109" s="43"/>
      <c r="B109" s="13" t="str">
        <f>IF($A109="","",IFERROR(INDEX(Stammdaten!$B$4:$B$9,MATCH($A109,Stammdaten!$A$4:$A$9,0)),""))</f>
        <v/>
      </c>
      <c r="C109" s="44"/>
      <c r="D109" s="44"/>
      <c r="E109" s="44"/>
      <c r="F109" s="43"/>
      <c r="G109" s="45"/>
      <c r="H109" s="36" t="str">
        <f>IF($D109="","",IF($F109="",0,IF($G109&lt;&gt;"",$G109,IFERROR(INDEX(Stammdaten!$G$4:$G$9,MATCH($A109,Stammdaten!$A$4:$A$9,0)),0))))</f>
        <v/>
      </c>
      <c r="I109" s="33"/>
      <c r="J109" s="12" t="str">
        <f>IF(AND($D109&lt;&gt;"",$I109&lt;&gt;""),COUNTIFS($D$2:$D109,"&lt;&gt;",$I$2:$I109,"&lt;&gt;"),"")</f>
        <v/>
      </c>
    </row>
    <row r="110" spans="1:10" x14ac:dyDescent="0.25">
      <c r="A110" s="43"/>
      <c r="B110" s="13" t="str">
        <f>IF($A110="","",IFERROR(INDEX(Stammdaten!$B$4:$B$9,MATCH($A110,Stammdaten!$A$4:$A$9,0)),""))</f>
        <v/>
      </c>
      <c r="C110" s="44"/>
      <c r="D110" s="44"/>
      <c r="E110" s="44"/>
      <c r="F110" s="43"/>
      <c r="G110" s="45"/>
      <c r="H110" s="36" t="str">
        <f>IF($D110="","",IF($F110="",0,IF($G110&lt;&gt;"",$G110,IFERROR(INDEX(Stammdaten!$G$4:$G$9,MATCH($A110,Stammdaten!$A$4:$A$9,0)),0))))</f>
        <v/>
      </c>
      <c r="I110" s="33"/>
      <c r="J110" s="12" t="str">
        <f>IF(AND($D110&lt;&gt;"",$I110&lt;&gt;""),COUNTIFS($D$2:$D110,"&lt;&gt;",$I$2:$I110,"&lt;&gt;"),"")</f>
        <v/>
      </c>
    </row>
    <row r="111" spans="1:10" x14ac:dyDescent="0.25">
      <c r="A111" s="43"/>
      <c r="B111" s="13" t="str">
        <f>IF($A111="","",IFERROR(INDEX(Stammdaten!$B$4:$B$9,MATCH($A111,Stammdaten!$A$4:$A$9,0)),""))</f>
        <v/>
      </c>
      <c r="C111" s="44"/>
      <c r="D111" s="44"/>
      <c r="E111" s="44"/>
      <c r="F111" s="43"/>
      <c r="G111" s="45"/>
      <c r="H111" s="36" t="str">
        <f>IF($D111="","",IF($F111="",0,IF($G111&lt;&gt;"",$G111,IFERROR(INDEX(Stammdaten!$G$4:$G$9,MATCH($A111,Stammdaten!$A$4:$A$9,0)),0))))</f>
        <v/>
      </c>
      <c r="I111" s="33"/>
      <c r="J111" s="12" t="str">
        <f>IF(AND($D111&lt;&gt;"",$I111&lt;&gt;""),COUNTIFS($D$2:$D111,"&lt;&gt;",$I$2:$I111,"&lt;&gt;"),"")</f>
        <v/>
      </c>
    </row>
    <row r="112" spans="1:10" x14ac:dyDescent="0.25">
      <c r="A112" s="43"/>
      <c r="B112" s="13" t="str">
        <f>IF($A112="","",IFERROR(INDEX(Stammdaten!$B$4:$B$9,MATCH($A112,Stammdaten!$A$4:$A$9,0)),""))</f>
        <v/>
      </c>
      <c r="C112" s="44"/>
      <c r="D112" s="44"/>
      <c r="E112" s="44"/>
      <c r="F112" s="43"/>
      <c r="G112" s="45"/>
      <c r="H112" s="36" t="str">
        <f>IF($D112="","",IF($F112="",0,IF($G112&lt;&gt;"",$G112,IFERROR(INDEX(Stammdaten!$G$4:$G$9,MATCH($A112,Stammdaten!$A$4:$A$9,0)),0))))</f>
        <v/>
      </c>
      <c r="I112" s="33"/>
      <c r="J112" s="12" t="str">
        <f>IF(AND($D112&lt;&gt;"",$I112&lt;&gt;""),COUNTIFS($D$2:$D112,"&lt;&gt;",$I$2:$I112,"&lt;&gt;"),"")</f>
        <v/>
      </c>
    </row>
    <row r="113" spans="1:10" x14ac:dyDescent="0.25">
      <c r="A113" s="43"/>
      <c r="B113" s="13" t="str">
        <f>IF($A113="","",IFERROR(INDEX(Stammdaten!$B$4:$B$9,MATCH($A113,Stammdaten!$A$4:$A$9,0)),""))</f>
        <v/>
      </c>
      <c r="C113" s="44"/>
      <c r="D113" s="44"/>
      <c r="E113" s="44"/>
      <c r="F113" s="43"/>
      <c r="G113" s="45"/>
      <c r="H113" s="36" t="str">
        <f>IF($D113="","",IF($F113="",0,IF($G113&lt;&gt;"",$G113,IFERROR(INDEX(Stammdaten!$G$4:$G$9,MATCH($A113,Stammdaten!$A$4:$A$9,0)),0))))</f>
        <v/>
      </c>
      <c r="I113" s="33"/>
      <c r="J113" s="12" t="str">
        <f>IF(AND($D113&lt;&gt;"",$I113&lt;&gt;""),COUNTIFS($D$2:$D113,"&lt;&gt;",$I$2:$I113,"&lt;&gt;"),"")</f>
        <v/>
      </c>
    </row>
    <row r="114" spans="1:10" x14ac:dyDescent="0.25">
      <c r="A114" s="43"/>
      <c r="B114" s="13" t="str">
        <f>IF($A114="","",IFERROR(INDEX(Stammdaten!$B$4:$B$9,MATCH($A114,Stammdaten!$A$4:$A$9,0)),""))</f>
        <v/>
      </c>
      <c r="C114" s="44"/>
      <c r="D114" s="44"/>
      <c r="E114" s="44"/>
      <c r="F114" s="43"/>
      <c r="G114" s="45"/>
      <c r="H114" s="36" t="str">
        <f>IF($D114="","",IF($F114="",0,IF($G114&lt;&gt;"",$G114,IFERROR(INDEX(Stammdaten!$G$4:$G$9,MATCH($A114,Stammdaten!$A$4:$A$9,0)),0))))</f>
        <v/>
      </c>
      <c r="I114" s="33"/>
      <c r="J114" s="12" t="str">
        <f>IF(AND($D114&lt;&gt;"",$I114&lt;&gt;""),COUNTIFS($D$2:$D114,"&lt;&gt;",$I$2:$I114,"&lt;&gt;"),"")</f>
        <v/>
      </c>
    </row>
    <row r="115" spans="1:10" x14ac:dyDescent="0.25">
      <c r="A115" s="43"/>
      <c r="B115" s="13" t="str">
        <f>IF($A115="","",IFERROR(INDEX(Stammdaten!$B$4:$B$9,MATCH($A115,Stammdaten!$A$4:$A$9,0)),""))</f>
        <v/>
      </c>
      <c r="C115" s="44"/>
      <c r="D115" s="44"/>
      <c r="E115" s="44"/>
      <c r="F115" s="43"/>
      <c r="G115" s="45"/>
      <c r="H115" s="36" t="str">
        <f>IF($D115="","",IF($F115="",0,IF($G115&lt;&gt;"",$G115,IFERROR(INDEX(Stammdaten!$G$4:$G$9,MATCH($A115,Stammdaten!$A$4:$A$9,0)),0))))</f>
        <v/>
      </c>
      <c r="I115" s="33"/>
      <c r="J115" s="12" t="str">
        <f>IF(AND($D115&lt;&gt;"",$I115&lt;&gt;""),COUNTIFS($D$2:$D115,"&lt;&gt;",$I$2:$I115,"&lt;&gt;"),"")</f>
        <v/>
      </c>
    </row>
    <row r="116" spans="1:10" x14ac:dyDescent="0.25">
      <c r="A116" s="43"/>
      <c r="B116" s="13" t="str">
        <f>IF($A116="","",IFERROR(INDEX(Stammdaten!$B$4:$B$9,MATCH($A116,Stammdaten!$A$4:$A$9,0)),""))</f>
        <v/>
      </c>
      <c r="C116" s="44"/>
      <c r="D116" s="44"/>
      <c r="E116" s="44"/>
      <c r="F116" s="43"/>
      <c r="G116" s="45"/>
      <c r="H116" s="36" t="str">
        <f>IF($D116="","",IF($F116="",0,IF($G116&lt;&gt;"",$G116,IFERROR(INDEX(Stammdaten!$G$4:$G$9,MATCH($A116,Stammdaten!$A$4:$A$9,0)),0))))</f>
        <v/>
      </c>
      <c r="I116" s="33"/>
      <c r="J116" s="12" t="str">
        <f>IF(AND($D116&lt;&gt;"",$I116&lt;&gt;""),COUNTIFS($D$2:$D116,"&lt;&gt;",$I$2:$I116,"&lt;&gt;"),"")</f>
        <v/>
      </c>
    </row>
    <row r="117" spans="1:10" x14ac:dyDescent="0.25">
      <c r="A117" s="43"/>
      <c r="B117" s="13" t="str">
        <f>IF($A117="","",IFERROR(INDEX(Stammdaten!$B$4:$B$9,MATCH($A117,Stammdaten!$A$4:$A$9,0)),""))</f>
        <v/>
      </c>
      <c r="C117" s="44"/>
      <c r="D117" s="44"/>
      <c r="E117" s="44"/>
      <c r="F117" s="43"/>
      <c r="G117" s="45"/>
      <c r="H117" s="36" t="str">
        <f>IF($D117="","",IF($F117="",0,IF($G117&lt;&gt;"",$G117,IFERROR(INDEX(Stammdaten!$G$4:$G$9,MATCH($A117,Stammdaten!$A$4:$A$9,0)),0))))</f>
        <v/>
      </c>
      <c r="I117" s="33"/>
      <c r="J117" s="12" t="str">
        <f>IF(AND($D117&lt;&gt;"",$I117&lt;&gt;""),COUNTIFS($D$2:$D117,"&lt;&gt;",$I$2:$I117,"&lt;&gt;"),"")</f>
        <v/>
      </c>
    </row>
    <row r="118" spans="1:10" x14ac:dyDescent="0.25">
      <c r="A118" s="43"/>
      <c r="B118" s="13" t="str">
        <f>IF($A118="","",IFERROR(INDEX(Stammdaten!$B$4:$B$9,MATCH($A118,Stammdaten!$A$4:$A$9,0)),""))</f>
        <v/>
      </c>
      <c r="C118" s="44"/>
      <c r="D118" s="44"/>
      <c r="E118" s="44"/>
      <c r="F118" s="43"/>
      <c r="G118" s="45"/>
      <c r="H118" s="36" t="str">
        <f>IF($D118="","",IF($F118="",0,IF($G118&lt;&gt;"",$G118,IFERROR(INDEX(Stammdaten!$G$4:$G$9,MATCH($A118,Stammdaten!$A$4:$A$9,0)),0))))</f>
        <v/>
      </c>
      <c r="I118" s="33"/>
      <c r="J118" s="12" t="str">
        <f>IF(AND($D118&lt;&gt;"",$I118&lt;&gt;""),COUNTIFS($D$2:$D118,"&lt;&gt;",$I$2:$I118,"&lt;&gt;"),"")</f>
        <v/>
      </c>
    </row>
    <row r="119" spans="1:10" x14ac:dyDescent="0.25">
      <c r="A119" s="43"/>
      <c r="B119" s="13" t="str">
        <f>IF($A119="","",IFERROR(INDEX(Stammdaten!$B$4:$B$9,MATCH($A119,Stammdaten!$A$4:$A$9,0)),""))</f>
        <v/>
      </c>
      <c r="C119" s="44"/>
      <c r="D119" s="44"/>
      <c r="E119" s="44"/>
      <c r="F119" s="43"/>
      <c r="G119" s="45"/>
      <c r="H119" s="36" t="str">
        <f>IF($D119="","",IF($F119="",0,IF($G119&lt;&gt;"",$G119,IFERROR(INDEX(Stammdaten!$G$4:$G$9,MATCH($A119,Stammdaten!$A$4:$A$9,0)),0))))</f>
        <v/>
      </c>
      <c r="I119" s="33"/>
      <c r="J119" s="12" t="str">
        <f>IF(AND($D119&lt;&gt;"",$I119&lt;&gt;""),COUNTIFS($D$2:$D119,"&lt;&gt;",$I$2:$I119,"&lt;&gt;"),"")</f>
        <v/>
      </c>
    </row>
    <row r="120" spans="1:10" x14ac:dyDescent="0.25">
      <c r="A120" s="43"/>
      <c r="B120" s="13" t="str">
        <f>IF($A120="","",IFERROR(INDEX(Stammdaten!$B$4:$B$9,MATCH($A120,Stammdaten!$A$4:$A$9,0)),""))</f>
        <v/>
      </c>
      <c r="C120" s="44"/>
      <c r="D120" s="44"/>
      <c r="E120" s="44"/>
      <c r="F120" s="43"/>
      <c r="G120" s="45"/>
      <c r="H120" s="36" t="str">
        <f>IF($D120="","",IF($F120="",0,IF($G120&lt;&gt;"",$G120,IFERROR(INDEX(Stammdaten!$G$4:$G$9,MATCH($A120,Stammdaten!$A$4:$A$9,0)),0))))</f>
        <v/>
      </c>
      <c r="I120" s="33"/>
      <c r="J120" s="12" t="str">
        <f>IF(AND($D120&lt;&gt;"",$I120&lt;&gt;""),COUNTIFS($D$2:$D120,"&lt;&gt;",$I$2:$I120,"&lt;&gt;"),"")</f>
        <v/>
      </c>
    </row>
    <row r="121" spans="1:10" x14ac:dyDescent="0.25">
      <c r="A121" s="43"/>
      <c r="B121" s="13" t="str">
        <f>IF($A121="","",IFERROR(INDEX(Stammdaten!$B$4:$B$9,MATCH($A121,Stammdaten!$A$4:$A$9,0)),""))</f>
        <v/>
      </c>
      <c r="C121" s="44"/>
      <c r="D121" s="44"/>
      <c r="E121" s="44"/>
      <c r="F121" s="43"/>
      <c r="G121" s="45"/>
      <c r="H121" s="36" t="str">
        <f>IF($D121="","",IF($F121="",0,IF($G121&lt;&gt;"",$G121,IFERROR(INDEX(Stammdaten!$G$4:$G$9,MATCH($A121,Stammdaten!$A$4:$A$9,0)),0))))</f>
        <v/>
      </c>
      <c r="I121" s="33"/>
      <c r="J121" s="12" t="str">
        <f>IF(AND($D121&lt;&gt;"",$I121&lt;&gt;""),COUNTIFS($D$2:$D121,"&lt;&gt;",$I$2:$I121,"&lt;&gt;"),"")</f>
        <v/>
      </c>
    </row>
    <row r="122" spans="1:10" x14ac:dyDescent="0.25">
      <c r="A122" s="43"/>
      <c r="B122" s="13" t="str">
        <f>IF($A122="","",IFERROR(INDEX(Stammdaten!$B$4:$B$9,MATCH($A122,Stammdaten!$A$4:$A$9,0)),""))</f>
        <v/>
      </c>
      <c r="C122" s="44"/>
      <c r="D122" s="44"/>
      <c r="E122" s="44"/>
      <c r="F122" s="43"/>
      <c r="G122" s="45"/>
      <c r="H122" s="36" t="str">
        <f>IF($D122="","",IF($F122="",0,IF($G122&lt;&gt;"",$G122,IFERROR(INDEX(Stammdaten!$G$4:$G$9,MATCH($A122,Stammdaten!$A$4:$A$9,0)),0))))</f>
        <v/>
      </c>
      <c r="I122" s="33"/>
      <c r="J122" s="12" t="str">
        <f>IF(AND($D122&lt;&gt;"",$I122&lt;&gt;""),COUNTIFS($D$2:$D122,"&lt;&gt;",$I$2:$I122,"&lt;&gt;"),"")</f>
        <v/>
      </c>
    </row>
    <row r="123" spans="1:10" x14ac:dyDescent="0.25">
      <c r="A123" s="43"/>
      <c r="B123" s="13" t="str">
        <f>IF($A123="","",IFERROR(INDEX(Stammdaten!$B$4:$B$9,MATCH($A123,Stammdaten!$A$4:$A$9,0)),""))</f>
        <v/>
      </c>
      <c r="C123" s="44"/>
      <c r="D123" s="44"/>
      <c r="E123" s="44"/>
      <c r="F123" s="43"/>
      <c r="G123" s="45"/>
      <c r="H123" s="36" t="str">
        <f>IF($D123="","",IF($F123="",0,IF($G123&lt;&gt;"",$G123,IFERROR(INDEX(Stammdaten!$G$4:$G$9,MATCH($A123,Stammdaten!$A$4:$A$9,0)),0))))</f>
        <v/>
      </c>
      <c r="I123" s="33"/>
      <c r="J123" s="12" t="str">
        <f>IF(AND($D123&lt;&gt;"",$I123&lt;&gt;""),COUNTIFS($D$2:$D123,"&lt;&gt;",$I$2:$I123,"&lt;&gt;"),"")</f>
        <v/>
      </c>
    </row>
    <row r="124" spans="1:10" x14ac:dyDescent="0.25">
      <c r="A124" s="43"/>
      <c r="B124" s="13" t="str">
        <f>IF($A124="","",IFERROR(INDEX(Stammdaten!$B$4:$B$9,MATCH($A124,Stammdaten!$A$4:$A$9,0)),""))</f>
        <v/>
      </c>
      <c r="C124" s="44"/>
      <c r="D124" s="44"/>
      <c r="E124" s="44"/>
      <c r="F124" s="43"/>
      <c r="G124" s="45"/>
      <c r="H124" s="36" t="str">
        <f>IF($D124="","",IF($F124="",0,IF($G124&lt;&gt;"",$G124,IFERROR(INDEX(Stammdaten!$G$4:$G$9,MATCH($A124,Stammdaten!$A$4:$A$9,0)),0))))</f>
        <v/>
      </c>
      <c r="I124" s="33"/>
      <c r="J124" s="12" t="str">
        <f>IF(AND($D124&lt;&gt;"",$I124&lt;&gt;""),COUNTIFS($D$2:$D124,"&lt;&gt;",$I$2:$I124,"&lt;&gt;"),"")</f>
        <v/>
      </c>
    </row>
    <row r="125" spans="1:10" x14ac:dyDescent="0.25">
      <c r="A125" s="43"/>
      <c r="B125" s="13" t="str">
        <f>IF($A125="","",IFERROR(INDEX(Stammdaten!$B$4:$B$9,MATCH($A125,Stammdaten!$A$4:$A$9,0)),""))</f>
        <v/>
      </c>
      <c r="C125" s="44"/>
      <c r="D125" s="44"/>
      <c r="E125" s="44"/>
      <c r="F125" s="43"/>
      <c r="G125" s="45"/>
      <c r="H125" s="36" t="str">
        <f>IF($D125="","",IF($F125="",0,IF($G125&lt;&gt;"",$G125,IFERROR(INDEX(Stammdaten!$G$4:$G$9,MATCH($A125,Stammdaten!$A$4:$A$9,0)),0))))</f>
        <v/>
      </c>
      <c r="I125" s="33"/>
      <c r="J125" s="12" t="str">
        <f>IF(AND($D125&lt;&gt;"",$I125&lt;&gt;""),COUNTIFS($D$2:$D125,"&lt;&gt;",$I$2:$I125,"&lt;&gt;"),"")</f>
        <v/>
      </c>
    </row>
    <row r="126" spans="1:10" x14ac:dyDescent="0.25">
      <c r="A126" s="43"/>
      <c r="B126" s="13" t="str">
        <f>IF($A126="","",IFERROR(INDEX(Stammdaten!$B$4:$B$9,MATCH($A126,Stammdaten!$A$4:$A$9,0)),""))</f>
        <v/>
      </c>
      <c r="C126" s="44"/>
      <c r="D126" s="44"/>
      <c r="E126" s="44"/>
      <c r="F126" s="43"/>
      <c r="G126" s="45"/>
      <c r="H126" s="36" t="str">
        <f>IF($D126="","",IF($F126="",0,IF($G126&lt;&gt;"",$G126,IFERROR(INDEX(Stammdaten!$G$4:$G$9,MATCH($A126,Stammdaten!$A$4:$A$9,0)),0))))</f>
        <v/>
      </c>
      <c r="I126" s="33"/>
      <c r="J126" s="12" t="str">
        <f>IF(AND($D126&lt;&gt;"",$I126&lt;&gt;""),COUNTIFS($D$2:$D126,"&lt;&gt;",$I$2:$I126,"&lt;&gt;"),"")</f>
        <v/>
      </c>
    </row>
    <row r="127" spans="1:10" x14ac:dyDescent="0.25">
      <c r="A127" s="43"/>
      <c r="B127" s="13" t="str">
        <f>IF($A127="","",IFERROR(INDEX(Stammdaten!$B$4:$B$9,MATCH($A127,Stammdaten!$A$4:$A$9,0)),""))</f>
        <v/>
      </c>
      <c r="C127" s="44"/>
      <c r="D127" s="44"/>
      <c r="E127" s="44"/>
      <c r="F127" s="43"/>
      <c r="G127" s="45"/>
      <c r="H127" s="36" t="str">
        <f>IF($D127="","",IF($F127="",0,IF($G127&lt;&gt;"",$G127,IFERROR(INDEX(Stammdaten!$G$4:$G$9,MATCH($A127,Stammdaten!$A$4:$A$9,0)),0))))</f>
        <v/>
      </c>
      <c r="I127" s="33"/>
      <c r="J127" s="12" t="str">
        <f>IF(AND($D127&lt;&gt;"",$I127&lt;&gt;""),COUNTIFS($D$2:$D127,"&lt;&gt;",$I$2:$I127,"&lt;&gt;"),"")</f>
        <v/>
      </c>
    </row>
    <row r="128" spans="1:10" x14ac:dyDescent="0.25">
      <c r="A128" s="43"/>
      <c r="B128" s="13" t="str">
        <f>IF($A128="","",IFERROR(INDEX(Stammdaten!$B$4:$B$9,MATCH($A128,Stammdaten!$A$4:$A$9,0)),""))</f>
        <v/>
      </c>
      <c r="C128" s="44"/>
      <c r="D128" s="44"/>
      <c r="E128" s="44"/>
      <c r="F128" s="43"/>
      <c r="G128" s="45"/>
      <c r="H128" s="36" t="str">
        <f>IF($D128="","",IF($F128="",0,IF($G128&lt;&gt;"",$G128,IFERROR(INDEX(Stammdaten!$G$4:$G$9,MATCH($A128,Stammdaten!$A$4:$A$9,0)),0))))</f>
        <v/>
      </c>
      <c r="I128" s="33"/>
      <c r="J128" s="12" t="str">
        <f>IF(AND($D128&lt;&gt;"",$I128&lt;&gt;""),COUNTIFS($D$2:$D128,"&lt;&gt;",$I$2:$I128,"&lt;&gt;"),"")</f>
        <v/>
      </c>
    </row>
    <row r="129" spans="1:10" x14ac:dyDescent="0.25">
      <c r="A129" s="43"/>
      <c r="B129" s="13" t="str">
        <f>IF($A129="","",IFERROR(INDEX(Stammdaten!$B$4:$B$9,MATCH($A129,Stammdaten!$A$4:$A$9,0)),""))</f>
        <v/>
      </c>
      <c r="C129" s="44"/>
      <c r="D129" s="44"/>
      <c r="E129" s="44"/>
      <c r="F129" s="43"/>
      <c r="G129" s="45"/>
      <c r="H129" s="36" t="str">
        <f>IF($D129="","",IF($F129="",0,IF($G129&lt;&gt;"",$G129,IFERROR(INDEX(Stammdaten!$G$4:$G$9,MATCH($A129,Stammdaten!$A$4:$A$9,0)),0))))</f>
        <v/>
      </c>
      <c r="I129" s="33"/>
      <c r="J129" s="12" t="str">
        <f>IF(AND($D129&lt;&gt;"",$I129&lt;&gt;""),COUNTIFS($D$2:$D129,"&lt;&gt;",$I$2:$I129,"&lt;&gt;"),"")</f>
        <v/>
      </c>
    </row>
    <row r="130" spans="1:10" x14ac:dyDescent="0.25">
      <c r="A130" s="43"/>
      <c r="B130" s="13" t="str">
        <f>IF($A130="","",IFERROR(INDEX(Stammdaten!$B$4:$B$9,MATCH($A130,Stammdaten!$A$4:$A$9,0)),""))</f>
        <v/>
      </c>
      <c r="C130" s="44"/>
      <c r="D130" s="44"/>
      <c r="E130" s="44"/>
      <c r="F130" s="43"/>
      <c r="G130" s="45"/>
      <c r="H130" s="36" t="str">
        <f>IF($D130="","",IF($F130="",0,IF($G130&lt;&gt;"",$G130,IFERROR(INDEX(Stammdaten!$G$4:$G$9,MATCH($A130,Stammdaten!$A$4:$A$9,0)),0))))</f>
        <v/>
      </c>
      <c r="I130" s="33"/>
      <c r="J130" s="12" t="str">
        <f>IF(AND($D130&lt;&gt;"",$I130&lt;&gt;""),COUNTIFS($D$2:$D130,"&lt;&gt;",$I$2:$I130,"&lt;&gt;"),"")</f>
        <v/>
      </c>
    </row>
    <row r="131" spans="1:10" x14ac:dyDescent="0.25">
      <c r="A131" s="43"/>
      <c r="B131" s="13" t="str">
        <f>IF($A131="","",IFERROR(INDEX(Stammdaten!$B$4:$B$9,MATCH($A131,Stammdaten!$A$4:$A$9,0)),""))</f>
        <v/>
      </c>
      <c r="C131" s="44"/>
      <c r="D131" s="44"/>
      <c r="E131" s="44"/>
      <c r="F131" s="43"/>
      <c r="G131" s="45"/>
      <c r="H131" s="36" t="str">
        <f>IF($D131="","",IF($F131="",0,IF($G131&lt;&gt;"",$G131,IFERROR(INDEX(Stammdaten!$G$4:$G$9,MATCH($A131,Stammdaten!$A$4:$A$9,0)),0))))</f>
        <v/>
      </c>
      <c r="I131" s="33"/>
      <c r="J131" s="12" t="str">
        <f>IF(AND($D131&lt;&gt;"",$I131&lt;&gt;""),COUNTIFS($D$2:$D131,"&lt;&gt;",$I$2:$I131,"&lt;&gt;"),"")</f>
        <v/>
      </c>
    </row>
    <row r="132" spans="1:10" x14ac:dyDescent="0.25">
      <c r="A132" s="43"/>
      <c r="B132" s="13" t="str">
        <f>IF($A132="","",IFERROR(INDEX(Stammdaten!$B$4:$B$9,MATCH($A132,Stammdaten!$A$4:$A$9,0)),""))</f>
        <v/>
      </c>
      <c r="C132" s="44"/>
      <c r="D132" s="44"/>
      <c r="E132" s="44"/>
      <c r="F132" s="43"/>
      <c r="G132" s="45"/>
      <c r="H132" s="36" t="str">
        <f>IF($D132="","",IF($F132="",0,IF($G132&lt;&gt;"",$G132,IFERROR(INDEX(Stammdaten!$G$4:$G$9,MATCH($A132,Stammdaten!$A$4:$A$9,0)),0))))</f>
        <v/>
      </c>
      <c r="I132" s="33"/>
      <c r="J132" s="12" t="str">
        <f>IF(AND($D132&lt;&gt;"",$I132&lt;&gt;""),COUNTIFS($D$2:$D132,"&lt;&gt;",$I$2:$I132,"&lt;&gt;"),"")</f>
        <v/>
      </c>
    </row>
    <row r="133" spans="1:10" x14ac:dyDescent="0.25">
      <c r="A133" s="43"/>
      <c r="B133" s="13" t="str">
        <f>IF($A133="","",IFERROR(INDEX(Stammdaten!$B$4:$B$9,MATCH($A133,Stammdaten!$A$4:$A$9,0)),""))</f>
        <v/>
      </c>
      <c r="C133" s="44"/>
      <c r="D133" s="44"/>
      <c r="E133" s="44"/>
      <c r="F133" s="43"/>
      <c r="G133" s="45"/>
      <c r="H133" s="36" t="str">
        <f>IF($D133="","",IF($F133="",0,IF($G133&lt;&gt;"",$G133,IFERROR(INDEX(Stammdaten!$G$4:$G$9,MATCH($A133,Stammdaten!$A$4:$A$9,0)),0))))</f>
        <v/>
      </c>
      <c r="I133" s="33"/>
      <c r="J133" s="12" t="str">
        <f>IF(AND($D133&lt;&gt;"",$I133&lt;&gt;""),COUNTIFS($D$2:$D133,"&lt;&gt;",$I$2:$I133,"&lt;&gt;"),"")</f>
        <v/>
      </c>
    </row>
    <row r="134" spans="1:10" x14ac:dyDescent="0.25">
      <c r="A134" s="43"/>
      <c r="B134" s="13" t="str">
        <f>IF($A134="","",IFERROR(INDEX(Stammdaten!$B$4:$B$9,MATCH($A134,Stammdaten!$A$4:$A$9,0)),""))</f>
        <v/>
      </c>
      <c r="C134" s="44"/>
      <c r="D134" s="44"/>
      <c r="E134" s="44"/>
      <c r="F134" s="43"/>
      <c r="G134" s="45"/>
      <c r="H134" s="36" t="str">
        <f>IF($D134="","",IF($F134="",0,IF($G134&lt;&gt;"",$G134,IFERROR(INDEX(Stammdaten!$G$4:$G$9,MATCH($A134,Stammdaten!$A$4:$A$9,0)),0))))</f>
        <v/>
      </c>
      <c r="I134" s="33"/>
      <c r="J134" s="12" t="str">
        <f>IF(AND($D134&lt;&gt;"",$I134&lt;&gt;""),COUNTIFS($D$2:$D134,"&lt;&gt;",$I$2:$I134,"&lt;&gt;"),"")</f>
        <v/>
      </c>
    </row>
    <row r="135" spans="1:10" x14ac:dyDescent="0.25">
      <c r="A135" s="43"/>
      <c r="B135" s="13" t="str">
        <f>IF($A135="","",IFERROR(INDEX(Stammdaten!$B$4:$B$9,MATCH($A135,Stammdaten!$A$4:$A$9,0)),""))</f>
        <v/>
      </c>
      <c r="C135" s="44"/>
      <c r="D135" s="44"/>
      <c r="E135" s="44"/>
      <c r="F135" s="43"/>
      <c r="G135" s="45"/>
      <c r="H135" s="36" t="str">
        <f>IF($D135="","",IF($F135="",0,IF($G135&lt;&gt;"",$G135,IFERROR(INDEX(Stammdaten!$G$4:$G$9,MATCH($A135,Stammdaten!$A$4:$A$9,0)),0))))</f>
        <v/>
      </c>
      <c r="I135" s="33"/>
      <c r="J135" s="12" t="str">
        <f>IF(AND($D135&lt;&gt;"",$I135&lt;&gt;""),COUNTIFS($D$2:$D135,"&lt;&gt;",$I$2:$I135,"&lt;&gt;"),"")</f>
        <v/>
      </c>
    </row>
    <row r="136" spans="1:10" x14ac:dyDescent="0.25">
      <c r="A136" s="43"/>
      <c r="B136" s="13" t="str">
        <f>IF($A136="","",IFERROR(INDEX(Stammdaten!$B$4:$B$9,MATCH($A136,Stammdaten!$A$4:$A$9,0)),""))</f>
        <v/>
      </c>
      <c r="C136" s="44"/>
      <c r="D136" s="44"/>
      <c r="E136" s="44"/>
      <c r="F136" s="43"/>
      <c r="G136" s="45"/>
      <c r="H136" s="36" t="str">
        <f>IF($D136="","",IF($F136="",0,IF($G136&lt;&gt;"",$G136,IFERROR(INDEX(Stammdaten!$G$4:$G$9,MATCH($A136,Stammdaten!$A$4:$A$9,0)),0))))</f>
        <v/>
      </c>
      <c r="I136" s="33"/>
      <c r="J136" s="12" t="str">
        <f>IF(AND($D136&lt;&gt;"",$I136&lt;&gt;""),COUNTIFS($D$2:$D136,"&lt;&gt;",$I$2:$I136,"&lt;&gt;"),"")</f>
        <v/>
      </c>
    </row>
    <row r="137" spans="1:10" x14ac:dyDescent="0.25">
      <c r="A137" s="43"/>
      <c r="B137" s="13" t="str">
        <f>IF($A137="","",IFERROR(INDEX(Stammdaten!$B$4:$B$9,MATCH($A137,Stammdaten!$A$4:$A$9,0)),""))</f>
        <v/>
      </c>
      <c r="C137" s="44"/>
      <c r="D137" s="44"/>
      <c r="E137" s="44"/>
      <c r="F137" s="43"/>
      <c r="G137" s="45"/>
      <c r="H137" s="36" t="str">
        <f>IF($D137="","",IF($F137="",0,IF($G137&lt;&gt;"",$G137,IFERROR(INDEX(Stammdaten!$G$4:$G$9,MATCH($A137,Stammdaten!$A$4:$A$9,0)),0))))</f>
        <v/>
      </c>
      <c r="I137" s="33"/>
      <c r="J137" s="12" t="str">
        <f>IF(AND($D137&lt;&gt;"",$I137&lt;&gt;""),COUNTIFS($D$2:$D137,"&lt;&gt;",$I$2:$I137,"&lt;&gt;"),"")</f>
        <v/>
      </c>
    </row>
    <row r="138" spans="1:10" x14ac:dyDescent="0.25">
      <c r="A138" s="43"/>
      <c r="B138" s="13" t="str">
        <f>IF($A138="","",IFERROR(INDEX(Stammdaten!$B$4:$B$9,MATCH($A138,Stammdaten!$A$4:$A$9,0)),""))</f>
        <v/>
      </c>
      <c r="C138" s="44"/>
      <c r="D138" s="44"/>
      <c r="E138" s="44"/>
      <c r="F138" s="43"/>
      <c r="G138" s="45"/>
      <c r="H138" s="36" t="str">
        <f>IF($D138="","",IF($F138="",0,IF($G138&lt;&gt;"",$G138,IFERROR(INDEX(Stammdaten!$G$4:$G$9,MATCH($A138,Stammdaten!$A$4:$A$9,0)),0))))</f>
        <v/>
      </c>
      <c r="I138" s="33"/>
      <c r="J138" s="12" t="str">
        <f>IF(AND($D138&lt;&gt;"",$I138&lt;&gt;""),COUNTIFS($D$2:$D138,"&lt;&gt;",$I$2:$I138,"&lt;&gt;"),"")</f>
        <v/>
      </c>
    </row>
    <row r="139" spans="1:10" x14ac:dyDescent="0.25">
      <c r="A139" s="43"/>
      <c r="B139" s="13" t="str">
        <f>IF($A139="","",IFERROR(INDEX(Stammdaten!$B$4:$B$9,MATCH($A139,Stammdaten!$A$4:$A$9,0)),""))</f>
        <v/>
      </c>
      <c r="C139" s="44"/>
      <c r="D139" s="44"/>
      <c r="E139" s="44"/>
      <c r="F139" s="43"/>
      <c r="G139" s="45"/>
      <c r="H139" s="36" t="str">
        <f>IF($D139="","",IF($F139="",0,IF($G139&lt;&gt;"",$G139,IFERROR(INDEX(Stammdaten!$G$4:$G$9,MATCH($A139,Stammdaten!$A$4:$A$9,0)),0))))</f>
        <v/>
      </c>
      <c r="I139" s="33"/>
      <c r="J139" s="12" t="str">
        <f>IF(AND($D139&lt;&gt;"",$I139&lt;&gt;""),COUNTIFS($D$2:$D139,"&lt;&gt;",$I$2:$I139,"&lt;&gt;"),"")</f>
        <v/>
      </c>
    </row>
    <row r="140" spans="1:10" x14ac:dyDescent="0.25">
      <c r="A140" s="43"/>
      <c r="B140" s="13" t="str">
        <f>IF($A140="","",IFERROR(INDEX(Stammdaten!$B$4:$B$9,MATCH($A140,Stammdaten!$A$4:$A$9,0)),""))</f>
        <v/>
      </c>
      <c r="C140" s="44"/>
      <c r="D140" s="44"/>
      <c r="E140" s="44"/>
      <c r="F140" s="43"/>
      <c r="G140" s="45"/>
      <c r="H140" s="36" t="str">
        <f>IF($D140="","",IF($F140="",0,IF($G140&lt;&gt;"",$G140,IFERROR(INDEX(Stammdaten!$G$4:$G$9,MATCH($A140,Stammdaten!$A$4:$A$9,0)),0))))</f>
        <v/>
      </c>
      <c r="I140" s="33"/>
      <c r="J140" s="12" t="str">
        <f>IF(AND($D140&lt;&gt;"",$I140&lt;&gt;""),COUNTIFS($D$2:$D140,"&lt;&gt;",$I$2:$I140,"&lt;&gt;"),"")</f>
        <v/>
      </c>
    </row>
    <row r="141" spans="1:10" x14ac:dyDescent="0.25">
      <c r="A141" s="43"/>
      <c r="B141" s="13" t="str">
        <f>IF($A141="","",IFERROR(INDEX(Stammdaten!$B$4:$B$9,MATCH($A141,Stammdaten!$A$4:$A$9,0)),""))</f>
        <v/>
      </c>
      <c r="C141" s="44"/>
      <c r="D141" s="44"/>
      <c r="E141" s="44"/>
      <c r="F141" s="43"/>
      <c r="G141" s="45"/>
      <c r="H141" s="36" t="str">
        <f>IF($D141="","",IF($F141="",0,IF($G141&lt;&gt;"",$G141,IFERROR(INDEX(Stammdaten!$G$4:$G$9,MATCH($A141,Stammdaten!$A$4:$A$9,0)),0))))</f>
        <v/>
      </c>
      <c r="I141" s="33"/>
      <c r="J141" s="12" t="str">
        <f>IF(AND($D141&lt;&gt;"",$I141&lt;&gt;""),COUNTIFS($D$2:$D141,"&lt;&gt;",$I$2:$I141,"&lt;&gt;"),"")</f>
        <v/>
      </c>
    </row>
    <row r="142" spans="1:10" x14ac:dyDescent="0.25">
      <c r="A142" s="43"/>
      <c r="B142" s="13" t="str">
        <f>IF($A142="","",IFERROR(INDEX(Stammdaten!$B$4:$B$9,MATCH($A142,Stammdaten!$A$4:$A$9,0)),""))</f>
        <v/>
      </c>
      <c r="C142" s="44"/>
      <c r="D142" s="44"/>
      <c r="E142" s="44"/>
      <c r="F142" s="43"/>
      <c r="G142" s="45"/>
      <c r="H142" s="36" t="str">
        <f>IF($D142="","",IF($F142="",0,IF($G142&lt;&gt;"",$G142,IFERROR(INDEX(Stammdaten!$G$4:$G$9,MATCH($A142,Stammdaten!$A$4:$A$9,0)),0))))</f>
        <v/>
      </c>
      <c r="I142" s="33"/>
      <c r="J142" s="12" t="str">
        <f>IF(AND($D142&lt;&gt;"",$I142&lt;&gt;""),COUNTIFS($D$2:$D142,"&lt;&gt;",$I$2:$I142,"&lt;&gt;"),"")</f>
        <v/>
      </c>
    </row>
    <row r="143" spans="1:10" x14ac:dyDescent="0.25">
      <c r="A143" s="43"/>
      <c r="B143" s="13" t="str">
        <f>IF($A143="","",IFERROR(INDEX(Stammdaten!$B$4:$B$9,MATCH($A143,Stammdaten!$A$4:$A$9,0)),""))</f>
        <v/>
      </c>
      <c r="C143" s="44"/>
      <c r="D143" s="44"/>
      <c r="E143" s="44"/>
      <c r="F143" s="43"/>
      <c r="G143" s="45"/>
      <c r="H143" s="36" t="str">
        <f>IF($D143="","",IF($F143="",0,IF($G143&lt;&gt;"",$G143,IFERROR(INDEX(Stammdaten!$G$4:$G$9,MATCH($A143,Stammdaten!$A$4:$A$9,0)),0))))</f>
        <v/>
      </c>
      <c r="I143" s="33"/>
      <c r="J143" s="12" t="str">
        <f>IF(AND($D143&lt;&gt;"",$I143&lt;&gt;""),COUNTIFS($D$2:$D143,"&lt;&gt;",$I$2:$I143,"&lt;&gt;"),"")</f>
        <v/>
      </c>
    </row>
    <row r="144" spans="1:10" x14ac:dyDescent="0.25">
      <c r="A144" s="43"/>
      <c r="B144" s="13" t="str">
        <f>IF($A144="","",IFERROR(INDEX(Stammdaten!$B$4:$B$9,MATCH($A144,Stammdaten!$A$4:$A$9,0)),""))</f>
        <v/>
      </c>
      <c r="C144" s="44"/>
      <c r="D144" s="44"/>
      <c r="E144" s="44"/>
      <c r="F144" s="43"/>
      <c r="G144" s="45"/>
      <c r="H144" s="36" t="str">
        <f>IF($D144="","",IF($F144="",0,IF($G144&lt;&gt;"",$G144,IFERROR(INDEX(Stammdaten!$G$4:$G$9,MATCH($A144,Stammdaten!$A$4:$A$9,0)),0))))</f>
        <v/>
      </c>
      <c r="I144" s="33"/>
      <c r="J144" s="12" t="str">
        <f>IF(AND($D144&lt;&gt;"",$I144&lt;&gt;""),COUNTIFS($D$2:$D144,"&lt;&gt;",$I$2:$I144,"&lt;&gt;"),"")</f>
        <v/>
      </c>
    </row>
    <row r="145" spans="1:10" x14ac:dyDescent="0.25">
      <c r="A145" s="43"/>
      <c r="B145" s="13" t="str">
        <f>IF($A145="","",IFERROR(INDEX(Stammdaten!$B$4:$B$9,MATCH($A145,Stammdaten!$A$4:$A$9,0)),""))</f>
        <v/>
      </c>
      <c r="C145" s="44"/>
      <c r="D145" s="44"/>
      <c r="E145" s="44"/>
      <c r="F145" s="43"/>
      <c r="G145" s="45"/>
      <c r="H145" s="36" t="str">
        <f>IF($D145="","",IF($F145="",0,IF($G145&lt;&gt;"",$G145,IFERROR(INDEX(Stammdaten!$G$4:$G$9,MATCH($A145,Stammdaten!$A$4:$A$9,0)),0))))</f>
        <v/>
      </c>
      <c r="I145" s="33"/>
      <c r="J145" s="12" t="str">
        <f>IF(AND($D145&lt;&gt;"",$I145&lt;&gt;""),COUNTIFS($D$2:$D145,"&lt;&gt;",$I$2:$I145,"&lt;&gt;"),"")</f>
        <v/>
      </c>
    </row>
    <row r="146" spans="1:10" x14ac:dyDescent="0.25">
      <c r="A146" s="43"/>
      <c r="B146" s="13" t="str">
        <f>IF($A146="","",IFERROR(INDEX(Stammdaten!$B$4:$B$9,MATCH($A146,Stammdaten!$A$4:$A$9,0)),""))</f>
        <v/>
      </c>
      <c r="C146" s="44"/>
      <c r="D146" s="44"/>
      <c r="E146" s="44"/>
      <c r="F146" s="43"/>
      <c r="G146" s="45"/>
      <c r="H146" s="36" t="str">
        <f>IF($D146="","",IF($F146="",0,IF($G146&lt;&gt;"",$G146,IFERROR(INDEX(Stammdaten!$G$4:$G$9,MATCH($A146,Stammdaten!$A$4:$A$9,0)),0))))</f>
        <v/>
      </c>
      <c r="I146" s="33"/>
      <c r="J146" s="12" t="str">
        <f>IF(AND($D146&lt;&gt;"",$I146&lt;&gt;""),COUNTIFS($D$2:$D146,"&lt;&gt;",$I$2:$I146,"&lt;&gt;"),"")</f>
        <v/>
      </c>
    </row>
    <row r="147" spans="1:10" x14ac:dyDescent="0.25">
      <c r="A147" s="43"/>
      <c r="B147" s="13" t="str">
        <f>IF($A147="","",IFERROR(INDEX(Stammdaten!$B$4:$B$9,MATCH($A147,Stammdaten!$A$4:$A$9,0)),""))</f>
        <v/>
      </c>
      <c r="C147" s="44"/>
      <c r="D147" s="44"/>
      <c r="E147" s="44"/>
      <c r="F147" s="43"/>
      <c r="G147" s="45"/>
      <c r="H147" s="36" t="str">
        <f>IF($D147="","",IF($F147="",0,IF($G147&lt;&gt;"",$G147,IFERROR(INDEX(Stammdaten!$G$4:$G$9,MATCH($A147,Stammdaten!$A$4:$A$9,0)),0))))</f>
        <v/>
      </c>
      <c r="I147" s="33"/>
      <c r="J147" s="12" t="str">
        <f>IF(AND($D147&lt;&gt;"",$I147&lt;&gt;""),COUNTIFS($D$2:$D147,"&lt;&gt;",$I$2:$I147,"&lt;&gt;"),"")</f>
        <v/>
      </c>
    </row>
    <row r="148" spans="1:10" x14ac:dyDescent="0.25">
      <c r="A148" s="43"/>
      <c r="B148" s="13" t="str">
        <f>IF($A148="","",IFERROR(INDEX(Stammdaten!$B$4:$B$9,MATCH($A148,Stammdaten!$A$4:$A$9,0)),""))</f>
        <v/>
      </c>
      <c r="C148" s="44"/>
      <c r="D148" s="44"/>
      <c r="E148" s="44"/>
      <c r="F148" s="43"/>
      <c r="G148" s="45"/>
      <c r="H148" s="36" t="str">
        <f>IF($D148="","",IF($F148="",0,IF($G148&lt;&gt;"",$G148,IFERROR(INDEX(Stammdaten!$G$4:$G$9,MATCH($A148,Stammdaten!$A$4:$A$9,0)),0))))</f>
        <v/>
      </c>
      <c r="I148" s="33"/>
      <c r="J148" s="12" t="str">
        <f>IF(AND($D148&lt;&gt;"",$I148&lt;&gt;""),COUNTIFS($D$2:$D148,"&lt;&gt;",$I$2:$I148,"&lt;&gt;"),"")</f>
        <v/>
      </c>
    </row>
    <row r="149" spans="1:10" x14ac:dyDescent="0.25">
      <c r="A149" s="43"/>
      <c r="B149" s="13" t="str">
        <f>IF($A149="","",IFERROR(INDEX(Stammdaten!$B$4:$B$9,MATCH($A149,Stammdaten!$A$4:$A$9,0)),""))</f>
        <v/>
      </c>
      <c r="C149" s="44"/>
      <c r="D149" s="44"/>
      <c r="E149" s="44"/>
      <c r="F149" s="43"/>
      <c r="G149" s="45"/>
      <c r="H149" s="36" t="str">
        <f>IF($D149="","",IF($F149="",0,IF($G149&lt;&gt;"",$G149,IFERROR(INDEX(Stammdaten!$G$4:$G$9,MATCH($A149,Stammdaten!$A$4:$A$9,0)),0))))</f>
        <v/>
      </c>
      <c r="I149" s="33"/>
      <c r="J149" s="12" t="str">
        <f>IF(AND($D149&lt;&gt;"",$I149&lt;&gt;""),COUNTIFS($D$2:$D149,"&lt;&gt;",$I$2:$I149,"&lt;&gt;"),"")</f>
        <v/>
      </c>
    </row>
    <row r="150" spans="1:10" x14ac:dyDescent="0.25">
      <c r="A150" s="43"/>
      <c r="B150" s="13" t="str">
        <f>IF($A150="","",IFERROR(INDEX(Stammdaten!$B$4:$B$9,MATCH($A150,Stammdaten!$A$4:$A$9,0)),""))</f>
        <v/>
      </c>
      <c r="C150" s="44"/>
      <c r="D150" s="44"/>
      <c r="E150" s="44"/>
      <c r="F150" s="43"/>
      <c r="G150" s="45"/>
      <c r="H150" s="36" t="str">
        <f>IF($D150="","",IF($F150="",0,IF($G150&lt;&gt;"",$G150,IFERROR(INDEX(Stammdaten!$G$4:$G$9,MATCH($A150,Stammdaten!$A$4:$A$9,0)),0))))</f>
        <v/>
      </c>
      <c r="I150" s="33"/>
      <c r="J150" s="12" t="str">
        <f>IF(AND($D150&lt;&gt;"",$I150&lt;&gt;""),COUNTIFS($D$2:$D150,"&lt;&gt;",$I$2:$I150,"&lt;&gt;"),"")</f>
        <v/>
      </c>
    </row>
    <row r="151" spans="1:10" x14ac:dyDescent="0.25">
      <c r="A151" s="43"/>
      <c r="B151" s="13" t="str">
        <f>IF($A151="","",IFERROR(INDEX(Stammdaten!$B$4:$B$9,MATCH($A151,Stammdaten!$A$4:$A$9,0)),""))</f>
        <v/>
      </c>
      <c r="C151" s="44"/>
      <c r="D151" s="44"/>
      <c r="E151" s="44"/>
      <c r="F151" s="43"/>
      <c r="G151" s="45"/>
      <c r="H151" s="36" t="str">
        <f>IF($D151="","",IF($F151="",0,IF($G151&lt;&gt;"",$G151,IFERROR(INDEX(Stammdaten!$G$4:$G$9,MATCH($A151,Stammdaten!$A$4:$A$9,0)),0))))</f>
        <v/>
      </c>
      <c r="I151" s="33"/>
      <c r="J151" s="12" t="str">
        <f>IF(AND($D151&lt;&gt;"",$I151&lt;&gt;""),COUNTIFS($D$2:$D151,"&lt;&gt;",$I$2:$I151,"&lt;&gt;"),"")</f>
        <v/>
      </c>
    </row>
    <row r="152" spans="1:10" x14ac:dyDescent="0.25">
      <c r="A152" s="43"/>
      <c r="B152" s="13" t="str">
        <f>IF($A152="","",IFERROR(INDEX(Stammdaten!$B$4:$B$9,MATCH($A152,Stammdaten!$A$4:$A$9,0)),""))</f>
        <v/>
      </c>
      <c r="C152" s="44"/>
      <c r="D152" s="44"/>
      <c r="E152" s="44"/>
      <c r="F152" s="43"/>
      <c r="G152" s="45"/>
      <c r="H152" s="36" t="str">
        <f>IF($D152="","",IF($F152="",0,IF($G152&lt;&gt;"",$G152,IFERROR(INDEX(Stammdaten!$G$4:$G$9,MATCH($A152,Stammdaten!$A$4:$A$9,0)),0))))</f>
        <v/>
      </c>
      <c r="I152" s="33"/>
      <c r="J152" s="12" t="str">
        <f>IF(AND($D152&lt;&gt;"",$I152&lt;&gt;""),COUNTIFS($D$2:$D152,"&lt;&gt;",$I$2:$I152,"&lt;&gt;"),"")</f>
        <v/>
      </c>
    </row>
    <row r="153" spans="1:10" x14ac:dyDescent="0.25">
      <c r="A153" s="43"/>
      <c r="B153" s="13" t="str">
        <f>IF($A153="","",IFERROR(INDEX(Stammdaten!$B$4:$B$9,MATCH($A153,Stammdaten!$A$4:$A$9,0)),""))</f>
        <v/>
      </c>
      <c r="C153" s="44"/>
      <c r="D153" s="44"/>
      <c r="E153" s="44"/>
      <c r="F153" s="43"/>
      <c r="G153" s="45"/>
      <c r="H153" s="36" t="str">
        <f>IF($D153="","",IF($F153="",0,IF($G153&lt;&gt;"",$G153,IFERROR(INDEX(Stammdaten!$G$4:$G$9,MATCH($A153,Stammdaten!$A$4:$A$9,0)),0))))</f>
        <v/>
      </c>
      <c r="I153" s="33"/>
      <c r="J153" s="12" t="str">
        <f>IF(AND($D153&lt;&gt;"",$I153&lt;&gt;""),COUNTIFS($D$2:$D153,"&lt;&gt;",$I$2:$I153,"&lt;&gt;"),"")</f>
        <v/>
      </c>
    </row>
    <row r="154" spans="1:10" x14ac:dyDescent="0.25">
      <c r="A154" s="43"/>
      <c r="B154" s="13" t="str">
        <f>IF($A154="","",IFERROR(INDEX(Stammdaten!$B$4:$B$9,MATCH($A154,Stammdaten!$A$4:$A$9,0)),""))</f>
        <v/>
      </c>
      <c r="C154" s="44"/>
      <c r="D154" s="44"/>
      <c r="E154" s="44"/>
      <c r="F154" s="43"/>
      <c r="G154" s="45"/>
      <c r="H154" s="36" t="str">
        <f>IF($D154="","",IF($F154="",0,IF($G154&lt;&gt;"",$G154,IFERROR(INDEX(Stammdaten!$G$4:$G$9,MATCH($A154,Stammdaten!$A$4:$A$9,0)),0))))</f>
        <v/>
      </c>
      <c r="I154" s="33"/>
      <c r="J154" s="12" t="str">
        <f>IF(AND($D154&lt;&gt;"",$I154&lt;&gt;""),COUNTIFS($D$2:$D154,"&lt;&gt;",$I$2:$I154,"&lt;&gt;"),"")</f>
        <v/>
      </c>
    </row>
    <row r="155" spans="1:10" x14ac:dyDescent="0.25">
      <c r="A155" s="43"/>
      <c r="B155" s="13" t="str">
        <f>IF($A155="","",IFERROR(INDEX(Stammdaten!$B$4:$B$9,MATCH($A155,Stammdaten!$A$4:$A$9,0)),""))</f>
        <v/>
      </c>
      <c r="C155" s="44"/>
      <c r="D155" s="44"/>
      <c r="E155" s="44"/>
      <c r="F155" s="43"/>
      <c r="G155" s="45"/>
      <c r="H155" s="36" t="str">
        <f>IF($D155="","",IF($F155="",0,IF($G155&lt;&gt;"",$G155,IFERROR(INDEX(Stammdaten!$G$4:$G$9,MATCH($A155,Stammdaten!$A$4:$A$9,0)),0))))</f>
        <v/>
      </c>
      <c r="I155" s="33"/>
      <c r="J155" s="12" t="str">
        <f>IF(AND($D155&lt;&gt;"",$I155&lt;&gt;""),COUNTIFS($D$2:$D155,"&lt;&gt;",$I$2:$I155,"&lt;&gt;"),"")</f>
        <v/>
      </c>
    </row>
    <row r="156" spans="1:10" x14ac:dyDescent="0.25">
      <c r="A156" s="43"/>
      <c r="B156" s="13" t="str">
        <f>IF($A156="","",IFERROR(INDEX(Stammdaten!$B$4:$B$9,MATCH($A156,Stammdaten!$A$4:$A$9,0)),""))</f>
        <v/>
      </c>
      <c r="C156" s="44"/>
      <c r="D156" s="44"/>
      <c r="E156" s="44"/>
      <c r="F156" s="43"/>
      <c r="G156" s="45"/>
      <c r="H156" s="36" t="str">
        <f>IF($D156="","",IF($F156="",0,IF($G156&lt;&gt;"",$G156,IFERROR(INDEX(Stammdaten!$G$4:$G$9,MATCH($A156,Stammdaten!$A$4:$A$9,0)),0))))</f>
        <v/>
      </c>
      <c r="I156" s="33"/>
      <c r="J156" s="12" t="str">
        <f>IF(AND($D156&lt;&gt;"",$I156&lt;&gt;""),COUNTIFS($D$2:$D156,"&lt;&gt;",$I$2:$I156,"&lt;&gt;"),"")</f>
        <v/>
      </c>
    </row>
    <row r="157" spans="1:10" x14ac:dyDescent="0.25">
      <c r="A157" s="43"/>
      <c r="B157" s="13" t="str">
        <f>IF($A157="","",IFERROR(INDEX(Stammdaten!$B$4:$B$9,MATCH($A157,Stammdaten!$A$4:$A$9,0)),""))</f>
        <v/>
      </c>
      <c r="C157" s="44"/>
      <c r="D157" s="44"/>
      <c r="E157" s="44"/>
      <c r="F157" s="43"/>
      <c r="G157" s="45"/>
      <c r="H157" s="36" t="str">
        <f>IF($D157="","",IF($F157="",0,IF($G157&lt;&gt;"",$G157,IFERROR(INDEX(Stammdaten!$G$4:$G$9,MATCH($A157,Stammdaten!$A$4:$A$9,0)),0))))</f>
        <v/>
      </c>
      <c r="I157" s="33"/>
      <c r="J157" s="12" t="str">
        <f>IF(AND($D157&lt;&gt;"",$I157&lt;&gt;""),COUNTIFS($D$2:$D157,"&lt;&gt;",$I$2:$I157,"&lt;&gt;"),"")</f>
        <v/>
      </c>
    </row>
    <row r="158" spans="1:10" x14ac:dyDescent="0.25">
      <c r="A158" s="43"/>
      <c r="B158" s="13" t="str">
        <f>IF($A158="","",IFERROR(INDEX(Stammdaten!$B$4:$B$9,MATCH($A158,Stammdaten!$A$4:$A$9,0)),""))</f>
        <v/>
      </c>
      <c r="C158" s="44"/>
      <c r="D158" s="44"/>
      <c r="E158" s="44"/>
      <c r="F158" s="43"/>
      <c r="G158" s="45"/>
      <c r="H158" s="36" t="str">
        <f>IF($D158="","",IF($F158="",0,IF($G158&lt;&gt;"",$G158,IFERROR(INDEX(Stammdaten!$G$4:$G$9,MATCH($A158,Stammdaten!$A$4:$A$9,0)),0))))</f>
        <v/>
      </c>
      <c r="I158" s="33"/>
      <c r="J158" s="12" t="str">
        <f>IF(AND($D158&lt;&gt;"",$I158&lt;&gt;""),COUNTIFS($D$2:$D158,"&lt;&gt;",$I$2:$I158,"&lt;&gt;"),"")</f>
        <v/>
      </c>
    </row>
    <row r="159" spans="1:10" x14ac:dyDescent="0.25">
      <c r="A159" s="43"/>
      <c r="B159" s="13" t="str">
        <f>IF($A159="","",IFERROR(INDEX(Stammdaten!$B$4:$B$9,MATCH($A159,Stammdaten!$A$4:$A$9,0)),""))</f>
        <v/>
      </c>
      <c r="C159" s="44"/>
      <c r="D159" s="44"/>
      <c r="E159" s="44"/>
      <c r="F159" s="43"/>
      <c r="G159" s="45"/>
      <c r="H159" s="36" t="str">
        <f>IF($D159="","",IF($F159="",0,IF($G159&lt;&gt;"",$G159,IFERROR(INDEX(Stammdaten!$G$4:$G$9,MATCH($A159,Stammdaten!$A$4:$A$9,0)),0))))</f>
        <v/>
      </c>
      <c r="I159" s="33"/>
      <c r="J159" s="12" t="str">
        <f>IF(AND($D159&lt;&gt;"",$I159&lt;&gt;""),COUNTIFS($D$2:$D159,"&lt;&gt;",$I$2:$I159,"&lt;&gt;"),"")</f>
        <v/>
      </c>
    </row>
    <row r="160" spans="1:10" x14ac:dyDescent="0.25">
      <c r="A160" s="43"/>
      <c r="B160" s="13" t="str">
        <f>IF($A160="","",IFERROR(INDEX(Stammdaten!$B$4:$B$9,MATCH($A160,Stammdaten!$A$4:$A$9,0)),""))</f>
        <v/>
      </c>
      <c r="C160" s="44"/>
      <c r="D160" s="44"/>
      <c r="E160" s="44"/>
      <c r="F160" s="43"/>
      <c r="G160" s="45"/>
      <c r="H160" s="36" t="str">
        <f>IF($D160="","",IF($F160="",0,IF($G160&lt;&gt;"",$G160,IFERROR(INDEX(Stammdaten!$G$4:$G$9,MATCH($A160,Stammdaten!$A$4:$A$9,0)),0))))</f>
        <v/>
      </c>
      <c r="I160" s="33"/>
      <c r="J160" s="12" t="str">
        <f>IF(AND($D160&lt;&gt;"",$I160&lt;&gt;""),COUNTIFS($D$2:$D160,"&lt;&gt;",$I$2:$I160,"&lt;&gt;"),"")</f>
        <v/>
      </c>
    </row>
    <row r="161" spans="1:10" x14ac:dyDescent="0.25">
      <c r="A161" s="43"/>
      <c r="B161" s="13" t="str">
        <f>IF($A161="","",IFERROR(INDEX(Stammdaten!$B$4:$B$9,MATCH($A161,Stammdaten!$A$4:$A$9,0)),""))</f>
        <v/>
      </c>
      <c r="C161" s="44"/>
      <c r="D161" s="44"/>
      <c r="E161" s="44"/>
      <c r="F161" s="43"/>
      <c r="G161" s="45"/>
      <c r="H161" s="36" t="str">
        <f>IF($D161="","",IF($F161="",0,IF($G161&lt;&gt;"",$G161,IFERROR(INDEX(Stammdaten!$G$4:$G$9,MATCH($A161,Stammdaten!$A$4:$A$9,0)),0))))</f>
        <v/>
      </c>
      <c r="I161" s="33"/>
      <c r="J161" s="12" t="str">
        <f>IF(AND($D161&lt;&gt;"",$I161&lt;&gt;""),COUNTIFS($D$2:$D161,"&lt;&gt;",$I$2:$I161,"&lt;&gt;"),"")</f>
        <v/>
      </c>
    </row>
    <row r="162" spans="1:10" x14ac:dyDescent="0.25">
      <c r="A162" s="43"/>
      <c r="B162" s="13" t="str">
        <f>IF($A162="","",IFERROR(INDEX(Stammdaten!$B$4:$B$9,MATCH($A162,Stammdaten!$A$4:$A$9,0)),""))</f>
        <v/>
      </c>
      <c r="C162" s="44"/>
      <c r="D162" s="44"/>
      <c r="E162" s="44"/>
      <c r="F162" s="43"/>
      <c r="G162" s="45"/>
      <c r="H162" s="36" t="str">
        <f>IF($D162="","",IF($F162="",0,IF($G162&lt;&gt;"",$G162,IFERROR(INDEX(Stammdaten!$G$4:$G$9,MATCH($A162,Stammdaten!$A$4:$A$9,0)),0))))</f>
        <v/>
      </c>
      <c r="I162" s="33"/>
      <c r="J162" s="12" t="str">
        <f>IF(AND($D162&lt;&gt;"",$I162&lt;&gt;""),COUNTIFS($D$2:$D162,"&lt;&gt;",$I$2:$I162,"&lt;&gt;"),"")</f>
        <v/>
      </c>
    </row>
    <row r="163" spans="1:10" x14ac:dyDescent="0.25">
      <c r="A163" s="43"/>
      <c r="B163" s="13" t="str">
        <f>IF($A163="","",IFERROR(INDEX(Stammdaten!$B$4:$B$9,MATCH($A163,Stammdaten!$A$4:$A$9,0)),""))</f>
        <v/>
      </c>
      <c r="C163" s="44"/>
      <c r="D163" s="44"/>
      <c r="E163" s="44"/>
      <c r="F163" s="43"/>
      <c r="G163" s="45"/>
      <c r="H163" s="36" t="str">
        <f>IF($D163="","",IF($F163="",0,IF($G163&lt;&gt;"",$G163,IFERROR(INDEX(Stammdaten!$G$4:$G$9,MATCH($A163,Stammdaten!$A$4:$A$9,0)),0))))</f>
        <v/>
      </c>
      <c r="I163" s="33"/>
      <c r="J163" s="12" t="str">
        <f>IF(AND($D163&lt;&gt;"",$I163&lt;&gt;""),COUNTIFS($D$2:$D163,"&lt;&gt;",$I$2:$I163,"&lt;&gt;"),"")</f>
        <v/>
      </c>
    </row>
    <row r="164" spans="1:10" x14ac:dyDescent="0.25">
      <c r="A164" s="43"/>
      <c r="B164" s="13" t="str">
        <f>IF($A164="","",IFERROR(INDEX(Stammdaten!$B$4:$B$9,MATCH($A164,Stammdaten!$A$4:$A$9,0)),""))</f>
        <v/>
      </c>
      <c r="C164" s="44"/>
      <c r="D164" s="44"/>
      <c r="E164" s="44"/>
      <c r="F164" s="43"/>
      <c r="G164" s="45"/>
      <c r="H164" s="36" t="str">
        <f>IF($D164="","",IF($F164="",0,IF($G164&lt;&gt;"",$G164,IFERROR(INDEX(Stammdaten!$G$4:$G$9,MATCH($A164,Stammdaten!$A$4:$A$9,0)),0))))</f>
        <v/>
      </c>
      <c r="I164" s="33"/>
      <c r="J164" s="12" t="str">
        <f>IF(AND($D164&lt;&gt;"",$I164&lt;&gt;""),COUNTIFS($D$2:$D164,"&lt;&gt;",$I$2:$I164,"&lt;&gt;"),"")</f>
        <v/>
      </c>
    </row>
    <row r="165" spans="1:10" x14ac:dyDescent="0.25">
      <c r="A165" s="43"/>
      <c r="B165" s="13" t="str">
        <f>IF($A165="","",IFERROR(INDEX(Stammdaten!$B$4:$B$9,MATCH($A165,Stammdaten!$A$4:$A$9,0)),""))</f>
        <v/>
      </c>
      <c r="C165" s="44"/>
      <c r="D165" s="44"/>
      <c r="E165" s="44"/>
      <c r="F165" s="43"/>
      <c r="G165" s="45"/>
      <c r="H165" s="36" t="str">
        <f>IF($D165="","",IF($F165="",0,IF($G165&lt;&gt;"",$G165,IFERROR(INDEX(Stammdaten!$G$4:$G$9,MATCH($A165,Stammdaten!$A$4:$A$9,0)),0))))</f>
        <v/>
      </c>
      <c r="I165" s="33"/>
      <c r="J165" s="12" t="str">
        <f>IF(AND($D165&lt;&gt;"",$I165&lt;&gt;""),COUNTIFS($D$2:$D165,"&lt;&gt;",$I$2:$I165,"&lt;&gt;"),"")</f>
        <v/>
      </c>
    </row>
    <row r="166" spans="1:10" x14ac:dyDescent="0.25">
      <c r="A166" s="43"/>
      <c r="B166" s="13" t="str">
        <f>IF($A166="","",IFERROR(INDEX(Stammdaten!$B$4:$B$9,MATCH($A166,Stammdaten!$A$4:$A$9,0)),""))</f>
        <v/>
      </c>
      <c r="C166" s="44"/>
      <c r="D166" s="44"/>
      <c r="E166" s="44"/>
      <c r="F166" s="43"/>
      <c r="G166" s="45"/>
      <c r="H166" s="36" t="str">
        <f>IF($D166="","",IF($F166="",0,IF($G166&lt;&gt;"",$G166,IFERROR(INDEX(Stammdaten!$G$4:$G$9,MATCH($A166,Stammdaten!$A$4:$A$9,0)),0))))</f>
        <v/>
      </c>
      <c r="I166" s="33"/>
      <c r="J166" s="12" t="str">
        <f>IF(AND($D166&lt;&gt;"",$I166&lt;&gt;""),COUNTIFS($D$2:$D166,"&lt;&gt;",$I$2:$I166,"&lt;&gt;"),"")</f>
        <v/>
      </c>
    </row>
    <row r="167" spans="1:10" x14ac:dyDescent="0.25">
      <c r="A167" s="43"/>
      <c r="B167" s="13" t="str">
        <f>IF($A167="","",IFERROR(INDEX(Stammdaten!$B$4:$B$9,MATCH($A167,Stammdaten!$A$4:$A$9,0)),""))</f>
        <v/>
      </c>
      <c r="C167" s="44"/>
      <c r="D167" s="44"/>
      <c r="E167" s="44"/>
      <c r="F167" s="43"/>
      <c r="G167" s="45"/>
      <c r="H167" s="36" t="str">
        <f>IF($D167="","",IF($F167="",0,IF($G167&lt;&gt;"",$G167,IFERROR(INDEX(Stammdaten!$G$4:$G$9,MATCH($A167,Stammdaten!$A$4:$A$9,0)),0))))</f>
        <v/>
      </c>
      <c r="I167" s="33"/>
      <c r="J167" s="12" t="str">
        <f>IF(AND($D167&lt;&gt;"",$I167&lt;&gt;""),COUNTIFS($D$2:$D167,"&lt;&gt;",$I$2:$I167,"&lt;&gt;"),"")</f>
        <v/>
      </c>
    </row>
    <row r="168" spans="1:10" x14ac:dyDescent="0.25">
      <c r="A168" s="43"/>
      <c r="B168" s="13" t="str">
        <f>IF($A168="","",IFERROR(INDEX(Stammdaten!$B$4:$B$9,MATCH($A168,Stammdaten!$A$4:$A$9,0)),""))</f>
        <v/>
      </c>
      <c r="C168" s="44"/>
      <c r="D168" s="44"/>
      <c r="E168" s="44"/>
      <c r="F168" s="43"/>
      <c r="G168" s="45"/>
      <c r="H168" s="36" t="str">
        <f>IF($D168="","",IF($F168="",0,IF($G168&lt;&gt;"",$G168,IFERROR(INDEX(Stammdaten!$G$4:$G$9,MATCH($A168,Stammdaten!$A$4:$A$9,0)),0))))</f>
        <v/>
      </c>
      <c r="I168" s="33"/>
      <c r="J168" s="12" t="str">
        <f>IF(AND($D168&lt;&gt;"",$I168&lt;&gt;""),COUNTIFS($D$2:$D168,"&lt;&gt;",$I$2:$I168,"&lt;&gt;"),"")</f>
        <v/>
      </c>
    </row>
    <row r="169" spans="1:10" x14ac:dyDescent="0.25">
      <c r="A169" s="43"/>
      <c r="B169" s="13" t="str">
        <f>IF($A169="","",IFERROR(INDEX(Stammdaten!$B$4:$B$9,MATCH($A169,Stammdaten!$A$4:$A$9,0)),""))</f>
        <v/>
      </c>
      <c r="C169" s="44"/>
      <c r="D169" s="44"/>
      <c r="E169" s="44"/>
      <c r="F169" s="43"/>
      <c r="G169" s="45"/>
      <c r="H169" s="36" t="str">
        <f>IF($D169="","",IF($F169="",0,IF($G169&lt;&gt;"",$G169,IFERROR(INDEX(Stammdaten!$G$4:$G$9,MATCH($A169,Stammdaten!$A$4:$A$9,0)),0))))</f>
        <v/>
      </c>
      <c r="I169" s="33"/>
      <c r="J169" s="12" t="str">
        <f>IF(AND($D169&lt;&gt;"",$I169&lt;&gt;""),COUNTIFS($D$2:$D169,"&lt;&gt;",$I$2:$I169,"&lt;&gt;"),"")</f>
        <v/>
      </c>
    </row>
    <row r="170" spans="1:10" x14ac:dyDescent="0.25">
      <c r="A170" s="43"/>
      <c r="B170" s="13" t="str">
        <f>IF($A170="","",IFERROR(INDEX(Stammdaten!$B$4:$B$9,MATCH($A170,Stammdaten!$A$4:$A$9,0)),""))</f>
        <v/>
      </c>
      <c r="C170" s="44"/>
      <c r="D170" s="44"/>
      <c r="E170" s="44"/>
      <c r="F170" s="43"/>
      <c r="G170" s="45"/>
      <c r="H170" s="36" t="str">
        <f>IF($D170="","",IF($F170="",0,IF($G170&lt;&gt;"",$G170,IFERROR(INDEX(Stammdaten!$G$4:$G$9,MATCH($A170,Stammdaten!$A$4:$A$9,0)),0))))</f>
        <v/>
      </c>
      <c r="I170" s="33"/>
      <c r="J170" s="12" t="str">
        <f>IF(AND($D170&lt;&gt;"",$I170&lt;&gt;""),COUNTIFS($D$2:$D170,"&lt;&gt;",$I$2:$I170,"&lt;&gt;"),"")</f>
        <v/>
      </c>
    </row>
    <row r="171" spans="1:10" x14ac:dyDescent="0.25">
      <c r="A171" s="43"/>
      <c r="B171" s="13" t="str">
        <f>IF($A171="","",IFERROR(INDEX(Stammdaten!$B$4:$B$9,MATCH($A171,Stammdaten!$A$4:$A$9,0)),""))</f>
        <v/>
      </c>
      <c r="C171" s="44"/>
      <c r="D171" s="44"/>
      <c r="E171" s="44"/>
      <c r="F171" s="43"/>
      <c r="G171" s="45"/>
      <c r="H171" s="36" t="str">
        <f>IF($D171="","",IF($F171="",0,IF($G171&lt;&gt;"",$G171,IFERROR(INDEX(Stammdaten!$G$4:$G$9,MATCH($A171,Stammdaten!$A$4:$A$9,0)),0))))</f>
        <v/>
      </c>
      <c r="I171" s="33"/>
      <c r="J171" s="12" t="str">
        <f>IF(AND($D171&lt;&gt;"",$I171&lt;&gt;""),COUNTIFS($D$2:$D171,"&lt;&gt;",$I$2:$I171,"&lt;&gt;"),"")</f>
        <v/>
      </c>
    </row>
    <row r="172" spans="1:10" x14ac:dyDescent="0.25">
      <c r="A172" s="43"/>
      <c r="B172" s="13" t="str">
        <f>IF($A172="","",IFERROR(INDEX(Stammdaten!$B$4:$B$9,MATCH($A172,Stammdaten!$A$4:$A$9,0)),""))</f>
        <v/>
      </c>
      <c r="C172" s="44"/>
      <c r="D172" s="44"/>
      <c r="E172" s="44"/>
      <c r="F172" s="43"/>
      <c r="G172" s="45"/>
      <c r="H172" s="36" t="str">
        <f>IF($D172="","",IF($F172="",0,IF($G172&lt;&gt;"",$G172,IFERROR(INDEX(Stammdaten!$G$4:$G$9,MATCH($A172,Stammdaten!$A$4:$A$9,0)),0))))</f>
        <v/>
      </c>
      <c r="I172" s="33"/>
      <c r="J172" s="12" t="str">
        <f>IF(AND($D172&lt;&gt;"",$I172&lt;&gt;""),COUNTIFS($D$2:$D172,"&lt;&gt;",$I$2:$I172,"&lt;&gt;"),"")</f>
        <v/>
      </c>
    </row>
    <row r="173" spans="1:10" x14ac:dyDescent="0.25">
      <c r="A173" s="43"/>
      <c r="B173" s="13" t="str">
        <f>IF($A173="","",IFERROR(INDEX(Stammdaten!$B$4:$B$9,MATCH($A173,Stammdaten!$A$4:$A$9,0)),""))</f>
        <v/>
      </c>
      <c r="C173" s="44"/>
      <c r="D173" s="44"/>
      <c r="E173" s="44"/>
      <c r="F173" s="43"/>
      <c r="G173" s="45"/>
      <c r="H173" s="36" t="str">
        <f>IF($D173="","",IF($F173="",0,IF($G173&lt;&gt;"",$G173,IFERROR(INDEX(Stammdaten!$G$4:$G$9,MATCH($A173,Stammdaten!$A$4:$A$9,0)),0))))</f>
        <v/>
      </c>
      <c r="I173" s="33"/>
      <c r="J173" s="12" t="str">
        <f>IF(AND($D173&lt;&gt;"",$I173&lt;&gt;""),COUNTIFS($D$2:$D173,"&lt;&gt;",$I$2:$I173,"&lt;&gt;"),"")</f>
        <v/>
      </c>
    </row>
    <row r="174" spans="1:10" x14ac:dyDescent="0.25">
      <c r="A174" s="43"/>
      <c r="B174" s="13" t="str">
        <f>IF($A174="","",IFERROR(INDEX(Stammdaten!$B$4:$B$9,MATCH($A174,Stammdaten!$A$4:$A$9,0)),""))</f>
        <v/>
      </c>
      <c r="C174" s="44"/>
      <c r="D174" s="44"/>
      <c r="E174" s="44"/>
      <c r="F174" s="43"/>
      <c r="G174" s="45"/>
      <c r="H174" s="36" t="str">
        <f>IF($D174="","",IF($F174="",0,IF($G174&lt;&gt;"",$G174,IFERROR(INDEX(Stammdaten!$G$4:$G$9,MATCH($A174,Stammdaten!$A$4:$A$9,0)),0))))</f>
        <v/>
      </c>
      <c r="I174" s="33"/>
      <c r="J174" s="12" t="str">
        <f>IF(AND($D174&lt;&gt;"",$I174&lt;&gt;""),COUNTIFS($D$2:$D174,"&lt;&gt;",$I$2:$I174,"&lt;&gt;"),"")</f>
        <v/>
      </c>
    </row>
    <row r="175" spans="1:10" x14ac:dyDescent="0.25">
      <c r="A175" s="43"/>
      <c r="B175" s="13" t="str">
        <f>IF($A175="","",IFERROR(INDEX(Stammdaten!$B$4:$B$9,MATCH($A175,Stammdaten!$A$4:$A$9,0)),""))</f>
        <v/>
      </c>
      <c r="C175" s="44"/>
      <c r="D175" s="44"/>
      <c r="E175" s="44"/>
      <c r="F175" s="43"/>
      <c r="G175" s="45"/>
      <c r="H175" s="36" t="str">
        <f>IF($D175="","",IF($F175="",0,IF($G175&lt;&gt;"",$G175,IFERROR(INDEX(Stammdaten!$G$4:$G$9,MATCH($A175,Stammdaten!$A$4:$A$9,0)),0))))</f>
        <v/>
      </c>
      <c r="I175" s="33"/>
      <c r="J175" s="12" t="str">
        <f>IF(AND($D175&lt;&gt;"",$I175&lt;&gt;""),COUNTIFS($D$2:$D175,"&lt;&gt;",$I$2:$I175,"&lt;&gt;"),"")</f>
        <v/>
      </c>
    </row>
    <row r="176" spans="1:10" x14ac:dyDescent="0.25">
      <c r="A176" s="43"/>
      <c r="B176" s="13" t="str">
        <f>IF($A176="","",IFERROR(INDEX(Stammdaten!$B$4:$B$9,MATCH($A176,Stammdaten!$A$4:$A$9,0)),""))</f>
        <v/>
      </c>
      <c r="C176" s="44"/>
      <c r="D176" s="44"/>
      <c r="E176" s="44"/>
      <c r="F176" s="43"/>
      <c r="G176" s="45"/>
      <c r="H176" s="36" t="str">
        <f>IF($D176="","",IF($F176="",0,IF($G176&lt;&gt;"",$G176,IFERROR(INDEX(Stammdaten!$G$4:$G$9,MATCH($A176,Stammdaten!$A$4:$A$9,0)),0))))</f>
        <v/>
      </c>
      <c r="I176" s="33"/>
      <c r="J176" s="12" t="str">
        <f>IF(AND($D176&lt;&gt;"",$I176&lt;&gt;""),COUNTIFS($D$2:$D176,"&lt;&gt;",$I$2:$I176,"&lt;&gt;"),"")</f>
        <v/>
      </c>
    </row>
    <row r="177" spans="1:10" x14ac:dyDescent="0.25">
      <c r="A177" s="43"/>
      <c r="B177" s="13" t="str">
        <f>IF($A177="","",IFERROR(INDEX(Stammdaten!$B$4:$B$9,MATCH($A177,Stammdaten!$A$4:$A$9,0)),""))</f>
        <v/>
      </c>
      <c r="C177" s="44"/>
      <c r="D177" s="44"/>
      <c r="E177" s="44"/>
      <c r="F177" s="43"/>
      <c r="G177" s="45"/>
      <c r="H177" s="36" t="str">
        <f>IF($D177="","",IF($F177="",0,IF($G177&lt;&gt;"",$G177,IFERROR(INDEX(Stammdaten!$G$4:$G$9,MATCH($A177,Stammdaten!$A$4:$A$9,0)),0))))</f>
        <v/>
      </c>
      <c r="I177" s="33"/>
      <c r="J177" s="12" t="str">
        <f>IF(AND($D177&lt;&gt;"",$I177&lt;&gt;""),COUNTIFS($D$2:$D177,"&lt;&gt;",$I$2:$I177,"&lt;&gt;"),"")</f>
        <v/>
      </c>
    </row>
    <row r="178" spans="1:10" x14ac:dyDescent="0.25">
      <c r="A178" s="43"/>
      <c r="B178" s="13" t="str">
        <f>IF($A178="","",IFERROR(INDEX(Stammdaten!$B$4:$B$9,MATCH($A178,Stammdaten!$A$4:$A$9,0)),""))</f>
        <v/>
      </c>
      <c r="C178" s="44"/>
      <c r="D178" s="44"/>
      <c r="E178" s="44"/>
      <c r="F178" s="43"/>
      <c r="G178" s="45"/>
      <c r="H178" s="36" t="str">
        <f>IF($D178="","",IF($F178="",0,IF($G178&lt;&gt;"",$G178,IFERROR(INDEX(Stammdaten!$G$4:$G$9,MATCH($A178,Stammdaten!$A$4:$A$9,0)),0))))</f>
        <v/>
      </c>
      <c r="I178" s="33"/>
      <c r="J178" s="12" t="str">
        <f>IF(AND($D178&lt;&gt;"",$I178&lt;&gt;""),COUNTIFS($D$2:$D178,"&lt;&gt;",$I$2:$I178,"&lt;&gt;"),"")</f>
        <v/>
      </c>
    </row>
    <row r="179" spans="1:10" x14ac:dyDescent="0.25">
      <c r="A179" s="43"/>
      <c r="B179" s="13" t="str">
        <f>IF($A179="","",IFERROR(INDEX(Stammdaten!$B$4:$B$9,MATCH($A179,Stammdaten!$A$4:$A$9,0)),""))</f>
        <v/>
      </c>
      <c r="C179" s="44"/>
      <c r="D179" s="44"/>
      <c r="E179" s="44"/>
      <c r="F179" s="43"/>
      <c r="G179" s="45"/>
      <c r="H179" s="36" t="str">
        <f>IF($D179="","",IF($F179="",0,IF($G179&lt;&gt;"",$G179,IFERROR(INDEX(Stammdaten!$G$4:$G$9,MATCH($A179,Stammdaten!$A$4:$A$9,0)),0))))</f>
        <v/>
      </c>
      <c r="I179" s="33"/>
      <c r="J179" s="12" t="str">
        <f>IF(AND($D179&lt;&gt;"",$I179&lt;&gt;""),COUNTIFS($D$2:$D179,"&lt;&gt;",$I$2:$I179,"&lt;&gt;"),"")</f>
        <v/>
      </c>
    </row>
    <row r="180" spans="1:10" x14ac:dyDescent="0.25">
      <c r="A180" s="43"/>
      <c r="B180" s="13" t="str">
        <f>IF($A180="","",IFERROR(INDEX(Stammdaten!$B$4:$B$9,MATCH($A180,Stammdaten!$A$4:$A$9,0)),""))</f>
        <v/>
      </c>
      <c r="C180" s="44"/>
      <c r="D180" s="44"/>
      <c r="E180" s="44"/>
      <c r="F180" s="43"/>
      <c r="G180" s="45"/>
      <c r="H180" s="36" t="str">
        <f>IF($D180="","",IF($F180="",0,IF($G180&lt;&gt;"",$G180,IFERROR(INDEX(Stammdaten!$G$4:$G$9,MATCH($A180,Stammdaten!$A$4:$A$9,0)),0))))</f>
        <v/>
      </c>
      <c r="I180" s="33"/>
      <c r="J180" s="12" t="str">
        <f>IF(AND($D180&lt;&gt;"",$I180&lt;&gt;""),COUNTIFS($D$2:$D180,"&lt;&gt;",$I$2:$I180,"&lt;&gt;"),"")</f>
        <v/>
      </c>
    </row>
    <row r="181" spans="1:10" x14ac:dyDescent="0.25">
      <c r="A181" s="43"/>
      <c r="B181" s="13" t="str">
        <f>IF($A181="","",IFERROR(INDEX(Stammdaten!$B$4:$B$9,MATCH($A181,Stammdaten!$A$4:$A$9,0)),""))</f>
        <v/>
      </c>
      <c r="C181" s="44"/>
      <c r="D181" s="44"/>
      <c r="E181" s="44"/>
      <c r="F181" s="43"/>
      <c r="G181" s="45"/>
      <c r="H181" s="36" t="str">
        <f>IF($D181="","",IF($F181="",0,IF($G181&lt;&gt;"",$G181,IFERROR(INDEX(Stammdaten!$G$4:$G$9,MATCH($A181,Stammdaten!$A$4:$A$9,0)),0))))</f>
        <v/>
      </c>
      <c r="I181" s="33"/>
      <c r="J181" s="12" t="str">
        <f>IF(AND($D181&lt;&gt;"",$I181&lt;&gt;""),COUNTIFS($D$2:$D181,"&lt;&gt;",$I$2:$I181,"&lt;&gt;"),"")</f>
        <v/>
      </c>
    </row>
    <row r="182" spans="1:10" x14ac:dyDescent="0.25">
      <c r="A182" s="43"/>
      <c r="B182" s="13" t="str">
        <f>IF($A182="","",IFERROR(INDEX(Stammdaten!$B$4:$B$9,MATCH($A182,Stammdaten!$A$4:$A$9,0)),""))</f>
        <v/>
      </c>
      <c r="C182" s="44"/>
      <c r="D182" s="44"/>
      <c r="E182" s="44"/>
      <c r="F182" s="43"/>
      <c r="G182" s="45"/>
      <c r="H182" s="36" t="str">
        <f>IF($D182="","",IF($F182="",0,IF($G182&lt;&gt;"",$G182,IFERROR(INDEX(Stammdaten!$G$4:$G$9,MATCH($A182,Stammdaten!$A$4:$A$9,0)),0))))</f>
        <v/>
      </c>
      <c r="I182" s="33"/>
      <c r="J182" s="12" t="str">
        <f>IF(AND($D182&lt;&gt;"",$I182&lt;&gt;""),COUNTIFS($D$2:$D182,"&lt;&gt;",$I$2:$I182,"&lt;&gt;"),"")</f>
        <v/>
      </c>
    </row>
    <row r="183" spans="1:10" x14ac:dyDescent="0.25">
      <c r="A183" s="43"/>
      <c r="B183" s="13" t="str">
        <f>IF($A183="","",IFERROR(INDEX(Stammdaten!$B$4:$B$9,MATCH($A183,Stammdaten!$A$4:$A$9,0)),""))</f>
        <v/>
      </c>
      <c r="C183" s="44"/>
      <c r="D183" s="44"/>
      <c r="E183" s="44"/>
      <c r="F183" s="43"/>
      <c r="G183" s="45"/>
      <c r="H183" s="36" t="str">
        <f>IF($D183="","",IF($F183="",0,IF($G183&lt;&gt;"",$G183,IFERROR(INDEX(Stammdaten!$G$4:$G$9,MATCH($A183,Stammdaten!$A$4:$A$9,0)),0))))</f>
        <v/>
      </c>
      <c r="I183" s="33"/>
      <c r="J183" s="12" t="str">
        <f>IF(AND($D183&lt;&gt;"",$I183&lt;&gt;""),COUNTIFS($D$2:$D183,"&lt;&gt;",$I$2:$I183,"&lt;&gt;"),"")</f>
        <v/>
      </c>
    </row>
    <row r="184" spans="1:10" x14ac:dyDescent="0.25">
      <c r="A184" s="43"/>
      <c r="B184" s="13" t="str">
        <f>IF($A184="","",IFERROR(INDEX(Stammdaten!$B$4:$B$9,MATCH($A184,Stammdaten!$A$4:$A$9,0)),""))</f>
        <v/>
      </c>
      <c r="C184" s="44"/>
      <c r="D184" s="44"/>
      <c r="E184" s="44"/>
      <c r="F184" s="43"/>
      <c r="G184" s="45"/>
      <c r="H184" s="36" t="str">
        <f>IF($D184="","",IF($F184="",0,IF($G184&lt;&gt;"",$G184,IFERROR(INDEX(Stammdaten!$G$4:$G$9,MATCH($A184,Stammdaten!$A$4:$A$9,0)),0))))</f>
        <v/>
      </c>
      <c r="I184" s="33"/>
      <c r="J184" s="12" t="str">
        <f>IF(AND($D184&lt;&gt;"",$I184&lt;&gt;""),COUNTIFS($D$2:$D184,"&lt;&gt;",$I$2:$I184,"&lt;&gt;"),"")</f>
        <v/>
      </c>
    </row>
    <row r="185" spans="1:10" x14ac:dyDescent="0.25">
      <c r="A185" s="43"/>
      <c r="B185" s="13" t="str">
        <f>IF($A185="","",IFERROR(INDEX(Stammdaten!$B$4:$B$9,MATCH($A185,Stammdaten!$A$4:$A$9,0)),""))</f>
        <v/>
      </c>
      <c r="C185" s="44"/>
      <c r="D185" s="44"/>
      <c r="E185" s="44"/>
      <c r="F185" s="43"/>
      <c r="G185" s="45"/>
      <c r="H185" s="36" t="str">
        <f>IF($D185="","",IF($F185="",0,IF($G185&lt;&gt;"",$G185,IFERROR(INDEX(Stammdaten!$G$4:$G$9,MATCH($A185,Stammdaten!$A$4:$A$9,0)),0))))</f>
        <v/>
      </c>
      <c r="I185" s="33"/>
      <c r="J185" s="12" t="str">
        <f>IF(AND($D185&lt;&gt;"",$I185&lt;&gt;""),COUNTIFS($D$2:$D185,"&lt;&gt;",$I$2:$I185,"&lt;&gt;"),"")</f>
        <v/>
      </c>
    </row>
    <row r="186" spans="1:10" x14ac:dyDescent="0.25">
      <c r="A186" s="43"/>
      <c r="B186" s="13" t="str">
        <f>IF($A186="","",IFERROR(INDEX(Stammdaten!$B$4:$B$9,MATCH($A186,Stammdaten!$A$4:$A$9,0)),""))</f>
        <v/>
      </c>
      <c r="C186" s="44"/>
      <c r="D186" s="44"/>
      <c r="E186" s="44"/>
      <c r="F186" s="43"/>
      <c r="G186" s="45"/>
      <c r="H186" s="36" t="str">
        <f>IF($D186="","",IF($F186="",0,IF($G186&lt;&gt;"",$G186,IFERROR(INDEX(Stammdaten!$G$4:$G$9,MATCH($A186,Stammdaten!$A$4:$A$9,0)),0))))</f>
        <v/>
      </c>
      <c r="I186" s="33"/>
      <c r="J186" s="12" t="str">
        <f>IF(AND($D186&lt;&gt;"",$I186&lt;&gt;""),COUNTIFS($D$2:$D186,"&lt;&gt;",$I$2:$I186,"&lt;&gt;"),"")</f>
        <v/>
      </c>
    </row>
    <row r="187" spans="1:10" x14ac:dyDescent="0.25">
      <c r="A187" s="43"/>
      <c r="B187" s="13" t="str">
        <f>IF($A187="","",IFERROR(INDEX(Stammdaten!$B$4:$B$9,MATCH($A187,Stammdaten!$A$4:$A$9,0)),""))</f>
        <v/>
      </c>
      <c r="C187" s="44"/>
      <c r="D187" s="44"/>
      <c r="E187" s="44"/>
      <c r="F187" s="43"/>
      <c r="G187" s="45"/>
      <c r="H187" s="36" t="str">
        <f>IF($D187="","",IF($F187="",0,IF($G187&lt;&gt;"",$G187,IFERROR(INDEX(Stammdaten!$G$4:$G$9,MATCH($A187,Stammdaten!$A$4:$A$9,0)),0))))</f>
        <v/>
      </c>
      <c r="I187" s="33"/>
      <c r="J187" s="12" t="str">
        <f>IF(AND($D187&lt;&gt;"",$I187&lt;&gt;""),COUNTIFS($D$2:$D187,"&lt;&gt;",$I$2:$I187,"&lt;&gt;"),"")</f>
        <v/>
      </c>
    </row>
    <row r="188" spans="1:10" x14ac:dyDescent="0.25">
      <c r="A188" s="43"/>
      <c r="B188" s="13" t="str">
        <f>IF($A188="","",IFERROR(INDEX(Stammdaten!$B$4:$B$9,MATCH($A188,Stammdaten!$A$4:$A$9,0)),""))</f>
        <v/>
      </c>
      <c r="C188" s="44"/>
      <c r="D188" s="44"/>
      <c r="E188" s="44"/>
      <c r="F188" s="43"/>
      <c r="G188" s="45"/>
      <c r="H188" s="36" t="str">
        <f>IF($D188="","",IF($F188="",0,IF($G188&lt;&gt;"",$G188,IFERROR(INDEX(Stammdaten!$G$4:$G$9,MATCH($A188,Stammdaten!$A$4:$A$9,0)),0))))</f>
        <v/>
      </c>
      <c r="I188" s="33"/>
      <c r="J188" s="12" t="str">
        <f>IF(AND($D188&lt;&gt;"",$I188&lt;&gt;""),COUNTIFS($D$2:$D188,"&lt;&gt;",$I$2:$I188,"&lt;&gt;"),"")</f>
        <v/>
      </c>
    </row>
    <row r="189" spans="1:10" x14ac:dyDescent="0.25">
      <c r="A189" s="43"/>
      <c r="B189" s="13" t="str">
        <f>IF($A189="","",IFERROR(INDEX(Stammdaten!$B$4:$B$9,MATCH($A189,Stammdaten!$A$4:$A$9,0)),""))</f>
        <v/>
      </c>
      <c r="C189" s="44"/>
      <c r="D189" s="44"/>
      <c r="E189" s="44"/>
      <c r="F189" s="43"/>
      <c r="G189" s="45"/>
      <c r="H189" s="36" t="str">
        <f>IF($D189="","",IF($F189="",0,IF($G189&lt;&gt;"",$G189,IFERROR(INDEX(Stammdaten!$G$4:$G$9,MATCH($A189,Stammdaten!$A$4:$A$9,0)),0))))</f>
        <v/>
      </c>
      <c r="I189" s="33"/>
      <c r="J189" s="12" t="str">
        <f>IF(AND($D189&lt;&gt;"",$I189&lt;&gt;""),COUNTIFS($D$2:$D189,"&lt;&gt;",$I$2:$I189,"&lt;&gt;"),"")</f>
        <v/>
      </c>
    </row>
    <row r="190" spans="1:10" x14ac:dyDescent="0.25">
      <c r="A190" s="43"/>
      <c r="B190" s="13" t="str">
        <f>IF($A190="","",IFERROR(INDEX(Stammdaten!$B$4:$B$9,MATCH($A190,Stammdaten!$A$4:$A$9,0)),""))</f>
        <v/>
      </c>
      <c r="C190" s="44"/>
      <c r="D190" s="44"/>
      <c r="E190" s="44"/>
      <c r="F190" s="43"/>
      <c r="G190" s="45"/>
      <c r="H190" s="36" t="str">
        <f>IF($D190="","",IF($F190="",0,IF($G190&lt;&gt;"",$G190,IFERROR(INDEX(Stammdaten!$G$4:$G$9,MATCH($A190,Stammdaten!$A$4:$A$9,0)),0))))</f>
        <v/>
      </c>
      <c r="I190" s="33"/>
      <c r="J190" s="12" t="str">
        <f>IF(AND($D190&lt;&gt;"",$I190&lt;&gt;""),COUNTIFS($D$2:$D190,"&lt;&gt;",$I$2:$I190,"&lt;&gt;"),"")</f>
        <v/>
      </c>
    </row>
    <row r="191" spans="1:10" x14ac:dyDescent="0.25">
      <c r="A191" s="43"/>
      <c r="B191" s="13" t="str">
        <f>IF($A191="","",IFERROR(INDEX(Stammdaten!$B$4:$B$9,MATCH($A191,Stammdaten!$A$4:$A$9,0)),""))</f>
        <v/>
      </c>
      <c r="C191" s="44"/>
      <c r="D191" s="44"/>
      <c r="E191" s="44"/>
      <c r="F191" s="43"/>
      <c r="G191" s="45"/>
      <c r="H191" s="36" t="str">
        <f>IF($D191="","",IF($F191="",0,IF($G191&lt;&gt;"",$G191,IFERROR(INDEX(Stammdaten!$G$4:$G$9,MATCH($A191,Stammdaten!$A$4:$A$9,0)),0))))</f>
        <v/>
      </c>
      <c r="I191" s="33"/>
      <c r="J191" s="12" t="str">
        <f>IF(AND($D191&lt;&gt;"",$I191&lt;&gt;""),COUNTIFS($D$2:$D191,"&lt;&gt;",$I$2:$I191,"&lt;&gt;"),"")</f>
        <v/>
      </c>
    </row>
    <row r="192" spans="1:10" x14ac:dyDescent="0.25">
      <c r="A192" s="43"/>
      <c r="B192" s="13" t="str">
        <f>IF($A192="","",IFERROR(INDEX(Stammdaten!$B$4:$B$9,MATCH($A192,Stammdaten!$A$4:$A$9,0)),""))</f>
        <v/>
      </c>
      <c r="C192" s="44"/>
      <c r="D192" s="44"/>
      <c r="E192" s="44"/>
      <c r="F192" s="43"/>
      <c r="G192" s="45"/>
      <c r="H192" s="36" t="str">
        <f>IF($D192="","",IF($F192="",0,IF($G192&lt;&gt;"",$G192,IFERROR(INDEX(Stammdaten!$G$4:$G$9,MATCH($A192,Stammdaten!$A$4:$A$9,0)),0))))</f>
        <v/>
      </c>
      <c r="I192" s="33"/>
      <c r="J192" s="12" t="str">
        <f>IF(AND($D192&lt;&gt;"",$I192&lt;&gt;""),COUNTIFS($D$2:$D192,"&lt;&gt;",$I$2:$I192,"&lt;&gt;"),"")</f>
        <v/>
      </c>
    </row>
    <row r="193" spans="1:10" x14ac:dyDescent="0.25">
      <c r="A193" s="43"/>
      <c r="B193" s="13" t="str">
        <f>IF($A193="","",IFERROR(INDEX(Stammdaten!$B$4:$B$9,MATCH($A193,Stammdaten!$A$4:$A$9,0)),""))</f>
        <v/>
      </c>
      <c r="C193" s="44"/>
      <c r="D193" s="44"/>
      <c r="E193" s="44"/>
      <c r="F193" s="43"/>
      <c r="G193" s="45"/>
      <c r="H193" s="36" t="str">
        <f>IF($D193="","",IF($F193="",0,IF($G193&lt;&gt;"",$G193,IFERROR(INDEX(Stammdaten!$G$4:$G$9,MATCH($A193,Stammdaten!$A$4:$A$9,0)),0))))</f>
        <v/>
      </c>
      <c r="I193" s="33"/>
      <c r="J193" s="12" t="str">
        <f>IF(AND($D193&lt;&gt;"",$I193&lt;&gt;""),COUNTIFS($D$2:$D193,"&lt;&gt;",$I$2:$I193,"&lt;&gt;"),"")</f>
        <v/>
      </c>
    </row>
    <row r="194" spans="1:10" x14ac:dyDescent="0.25">
      <c r="A194" s="43"/>
      <c r="B194" s="13" t="str">
        <f>IF($A194="","",IFERROR(INDEX(Stammdaten!$B$4:$B$9,MATCH($A194,Stammdaten!$A$4:$A$9,0)),""))</f>
        <v/>
      </c>
      <c r="C194" s="44"/>
      <c r="D194" s="44"/>
      <c r="E194" s="44"/>
      <c r="F194" s="43"/>
      <c r="G194" s="45"/>
      <c r="H194" s="36" t="str">
        <f>IF($D194="","",IF($F194="",0,IF($G194&lt;&gt;"",$G194,IFERROR(INDEX(Stammdaten!$G$4:$G$9,MATCH($A194,Stammdaten!$A$4:$A$9,0)),0))))</f>
        <v/>
      </c>
      <c r="I194" s="33"/>
      <c r="J194" s="12" t="str">
        <f>IF(AND($D194&lt;&gt;"",$I194&lt;&gt;""),COUNTIFS($D$2:$D194,"&lt;&gt;",$I$2:$I194,"&lt;&gt;"),"")</f>
        <v/>
      </c>
    </row>
    <row r="195" spans="1:10" x14ac:dyDescent="0.25">
      <c r="A195" s="43"/>
      <c r="B195" s="13" t="str">
        <f>IF($A195="","",IFERROR(INDEX(Stammdaten!$B$4:$B$9,MATCH($A195,Stammdaten!$A$4:$A$9,0)),""))</f>
        <v/>
      </c>
      <c r="C195" s="44"/>
      <c r="D195" s="44"/>
      <c r="E195" s="44"/>
      <c r="F195" s="43"/>
      <c r="G195" s="45"/>
      <c r="H195" s="36" t="str">
        <f>IF($D195="","",IF($F195="",0,IF($G195&lt;&gt;"",$G195,IFERROR(INDEX(Stammdaten!$G$4:$G$9,MATCH($A195,Stammdaten!$A$4:$A$9,0)),0))))</f>
        <v/>
      </c>
      <c r="I195" s="33"/>
      <c r="J195" s="12" t="str">
        <f>IF(AND($D195&lt;&gt;"",$I195&lt;&gt;""),COUNTIFS($D$2:$D195,"&lt;&gt;",$I$2:$I195,"&lt;&gt;"),"")</f>
        <v/>
      </c>
    </row>
    <row r="196" spans="1:10" x14ac:dyDescent="0.25">
      <c r="A196" s="43"/>
      <c r="B196" s="13" t="str">
        <f>IF($A196="","",IFERROR(INDEX(Stammdaten!$B$4:$B$9,MATCH($A196,Stammdaten!$A$4:$A$9,0)),""))</f>
        <v/>
      </c>
      <c r="C196" s="44"/>
      <c r="D196" s="44"/>
      <c r="E196" s="44"/>
      <c r="F196" s="43"/>
      <c r="G196" s="45"/>
      <c r="H196" s="36" t="str">
        <f>IF($D196="","",IF($F196="",0,IF($G196&lt;&gt;"",$G196,IFERROR(INDEX(Stammdaten!$G$4:$G$9,MATCH($A196,Stammdaten!$A$4:$A$9,0)),0))))</f>
        <v/>
      </c>
      <c r="I196" s="33"/>
      <c r="J196" s="12" t="str">
        <f>IF(AND($D196&lt;&gt;"",$I196&lt;&gt;""),COUNTIFS($D$2:$D196,"&lt;&gt;",$I$2:$I196,"&lt;&gt;"),"")</f>
        <v/>
      </c>
    </row>
    <row r="197" spans="1:10" x14ac:dyDescent="0.25">
      <c r="A197" s="43"/>
      <c r="B197" s="13" t="str">
        <f>IF($A197="","",IFERROR(INDEX(Stammdaten!$B$4:$B$9,MATCH($A197,Stammdaten!$A$4:$A$9,0)),""))</f>
        <v/>
      </c>
      <c r="C197" s="44"/>
      <c r="D197" s="44"/>
      <c r="E197" s="44"/>
      <c r="F197" s="43"/>
      <c r="G197" s="45"/>
      <c r="H197" s="36" t="str">
        <f>IF($D197="","",IF($F197="",0,IF($G197&lt;&gt;"",$G197,IFERROR(INDEX(Stammdaten!$G$4:$G$9,MATCH($A197,Stammdaten!$A$4:$A$9,0)),0))))</f>
        <v/>
      </c>
      <c r="I197" s="33"/>
      <c r="J197" s="12" t="str">
        <f>IF(AND($D197&lt;&gt;"",$I197&lt;&gt;""),COUNTIFS($D$2:$D197,"&lt;&gt;",$I$2:$I197,"&lt;&gt;"),"")</f>
        <v/>
      </c>
    </row>
    <row r="198" spans="1:10" x14ac:dyDescent="0.25">
      <c r="A198" s="43"/>
      <c r="B198" s="13" t="str">
        <f>IF($A198="","",IFERROR(INDEX(Stammdaten!$B$4:$B$9,MATCH($A198,Stammdaten!$A$4:$A$9,0)),""))</f>
        <v/>
      </c>
      <c r="C198" s="44"/>
      <c r="D198" s="44"/>
      <c r="E198" s="44"/>
      <c r="F198" s="43"/>
      <c r="G198" s="45"/>
      <c r="H198" s="36" t="str">
        <f>IF($D198="","",IF($F198="",0,IF($G198&lt;&gt;"",$G198,IFERROR(INDEX(Stammdaten!$G$4:$G$9,MATCH($A198,Stammdaten!$A$4:$A$9,0)),0))))</f>
        <v/>
      </c>
      <c r="I198" s="33"/>
      <c r="J198" s="12" t="str">
        <f>IF(AND($D198&lt;&gt;"",$I198&lt;&gt;""),COUNTIFS($D$2:$D198,"&lt;&gt;",$I$2:$I198,"&lt;&gt;"),"")</f>
        <v/>
      </c>
    </row>
    <row r="199" spans="1:10" x14ac:dyDescent="0.25">
      <c r="A199" s="43"/>
      <c r="B199" s="13" t="str">
        <f>IF($A199="","",IFERROR(INDEX(Stammdaten!$B$4:$B$9,MATCH($A199,Stammdaten!$A$4:$A$9,0)),""))</f>
        <v/>
      </c>
      <c r="C199" s="44"/>
      <c r="D199" s="44"/>
      <c r="E199" s="44"/>
      <c r="F199" s="43"/>
      <c r="G199" s="45"/>
      <c r="H199" s="36" t="str">
        <f>IF($D199="","",IF($F199="",0,IF($G199&lt;&gt;"",$G199,IFERROR(INDEX(Stammdaten!$G$4:$G$9,MATCH($A199,Stammdaten!$A$4:$A$9,0)),0))))</f>
        <v/>
      </c>
      <c r="I199" s="33"/>
      <c r="J199" s="12" t="str">
        <f>IF(AND($D199&lt;&gt;"",$I199&lt;&gt;""),COUNTIFS($D$2:$D199,"&lt;&gt;",$I$2:$I199,"&lt;&gt;"),"")</f>
        <v/>
      </c>
    </row>
    <row r="200" spans="1:10" x14ac:dyDescent="0.25">
      <c r="A200" s="43"/>
      <c r="B200" s="13" t="str">
        <f>IF($A200="","",IFERROR(INDEX(Stammdaten!$B$4:$B$9,MATCH($A200,Stammdaten!$A$4:$A$9,0)),""))</f>
        <v/>
      </c>
      <c r="C200" s="44"/>
      <c r="D200" s="44"/>
      <c r="E200" s="44"/>
      <c r="F200" s="43"/>
      <c r="G200" s="45"/>
      <c r="H200" s="36" t="str">
        <f>IF($D200="","",IF($F200="",0,IF($G200&lt;&gt;"",$G200,IFERROR(INDEX(Stammdaten!$G$4:$G$9,MATCH($A200,Stammdaten!$A$4:$A$9,0)),0))))</f>
        <v/>
      </c>
      <c r="I200" s="33"/>
      <c r="J200" s="12" t="str">
        <f>IF(AND($D200&lt;&gt;"",$I200&lt;&gt;""),COUNTIFS($D$2:$D200,"&lt;&gt;",$I$2:$I200,"&lt;&gt;"),"")</f>
        <v/>
      </c>
    </row>
  </sheetData>
  <autoFilter ref="A1:I200" xr:uid="{00000000-0009-0000-0000-000001000000}"/>
  <dataValidations count="1">
    <dataValidation type="list" allowBlank="1" sqref="F2:F200" xr:uid="{00000000-0002-0000-0100-000002000000}">
      <formula1>"x,OK"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Stammdaten!$A$4:$A$9</xm:f>
          </x14:formula1>
          <x14:formula2>
            <xm:f>0</xm:f>
          </x14:formula2>
          <xm:sqref>A2:A200</xm:sqref>
        </x14:dataValidation>
        <x14:dataValidation type="list" allowBlank="1" xr:uid="{00000000-0002-0000-0100-000001000000}">
          <x14:formula1>
            <xm:f>Stammdaten!$A$14:$A$19</xm:f>
          </x14:formula1>
          <x14:formula2>
            <xm:f>0</xm:f>
          </x14:formula2>
          <xm:sqref>E2:E200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9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14" customWidth="1"/>
    <col min="3" max="3" width="20" customWidth="1"/>
    <col min="4" max="4" width="24" customWidth="1"/>
    <col min="5" max="5" width="11" customWidth="1"/>
    <col min="6" max="7" width="14" customWidth="1"/>
    <col min="8" max="8" width="56" customWidth="1"/>
  </cols>
  <sheetData>
    <row r="1" spans="1:8" ht="20.25" x14ac:dyDescent="0.3">
      <c r="A1" s="46" t="s">
        <v>114</v>
      </c>
    </row>
    <row r="2" spans="1:8" x14ac:dyDescent="0.25">
      <c r="A2" s="7" t="s">
        <v>115</v>
      </c>
    </row>
    <row r="3" spans="1:8" ht="31.5" customHeight="1" x14ac:dyDescent="0.25">
      <c r="A3" s="11" t="s">
        <v>36</v>
      </c>
      <c r="B3" s="11" t="s">
        <v>8</v>
      </c>
      <c r="C3" s="11" t="s">
        <v>116</v>
      </c>
      <c r="D3" s="11" t="s">
        <v>117</v>
      </c>
      <c r="E3" s="11" t="s">
        <v>118</v>
      </c>
      <c r="F3" s="11" t="s">
        <v>119</v>
      </c>
      <c r="G3" s="11" t="s">
        <v>120</v>
      </c>
      <c r="H3" s="11" t="s">
        <v>121</v>
      </c>
    </row>
    <row r="4" spans="1:8" x14ac:dyDescent="0.25">
      <c r="A4" s="43" t="s">
        <v>45</v>
      </c>
      <c r="B4" s="47">
        <v>46130</v>
      </c>
      <c r="C4" s="44" t="s">
        <v>122</v>
      </c>
      <c r="D4" s="44" t="s">
        <v>123</v>
      </c>
      <c r="E4" s="45">
        <v>5</v>
      </c>
      <c r="F4" s="45">
        <v>0</v>
      </c>
      <c r="G4" s="48">
        <f t="shared" ref="G4:G9" si="0">IF($A4="","",N($E4)+N($F4))</f>
        <v>5</v>
      </c>
      <c r="H4" s="44" t="s">
        <v>124</v>
      </c>
    </row>
    <row r="5" spans="1:8" x14ac:dyDescent="0.25">
      <c r="A5" s="43" t="s">
        <v>50</v>
      </c>
      <c r="B5" s="47">
        <v>46130</v>
      </c>
      <c r="C5" s="44" t="s">
        <v>125</v>
      </c>
      <c r="D5" s="44" t="s">
        <v>126</v>
      </c>
      <c r="E5" s="45">
        <v>5</v>
      </c>
      <c r="F5" s="45">
        <v>0</v>
      </c>
      <c r="G5" s="48">
        <f t="shared" si="0"/>
        <v>5</v>
      </c>
      <c r="H5" s="44" t="s">
        <v>127</v>
      </c>
    </row>
    <row r="6" spans="1:8" x14ac:dyDescent="0.25">
      <c r="A6" s="43" t="s">
        <v>51</v>
      </c>
      <c r="B6" s="47">
        <v>46131</v>
      </c>
      <c r="C6" s="44" t="s">
        <v>128</v>
      </c>
      <c r="D6" s="44" t="s">
        <v>129</v>
      </c>
      <c r="E6" s="45">
        <v>3</v>
      </c>
      <c r="F6" s="45">
        <v>0</v>
      </c>
      <c r="G6" s="48">
        <f t="shared" si="0"/>
        <v>3</v>
      </c>
      <c r="H6" s="44" t="s">
        <v>130</v>
      </c>
    </row>
    <row r="7" spans="1:8" x14ac:dyDescent="0.25">
      <c r="A7" s="43" t="s">
        <v>52</v>
      </c>
      <c r="B7" s="47">
        <v>46137</v>
      </c>
      <c r="C7" s="44" t="s">
        <v>122</v>
      </c>
      <c r="D7" s="44" t="s">
        <v>123</v>
      </c>
      <c r="E7" s="45">
        <v>5</v>
      </c>
      <c r="F7" s="45">
        <v>0</v>
      </c>
      <c r="G7" s="48">
        <f t="shared" si="0"/>
        <v>5</v>
      </c>
      <c r="H7" s="44" t="s">
        <v>131</v>
      </c>
    </row>
    <row r="8" spans="1:8" x14ac:dyDescent="0.25">
      <c r="A8" s="43" t="s">
        <v>112</v>
      </c>
      <c r="B8" s="47">
        <v>45773</v>
      </c>
      <c r="C8" s="44" t="s">
        <v>132</v>
      </c>
      <c r="D8" s="44"/>
      <c r="E8" s="45">
        <v>5</v>
      </c>
      <c r="F8" s="45">
        <v>0</v>
      </c>
      <c r="G8" s="48">
        <f t="shared" si="0"/>
        <v>5</v>
      </c>
      <c r="H8" s="44" t="s">
        <v>133</v>
      </c>
    </row>
    <row r="9" spans="1:8" x14ac:dyDescent="0.25">
      <c r="A9" s="43"/>
      <c r="B9" s="47"/>
      <c r="C9" s="44"/>
      <c r="D9" s="44"/>
      <c r="E9" s="45"/>
      <c r="F9" s="45"/>
      <c r="G9" s="48" t="str">
        <f t="shared" si="0"/>
        <v/>
      </c>
      <c r="H9" s="49" t="s">
        <v>134</v>
      </c>
    </row>
    <row r="11" spans="1:8" x14ac:dyDescent="0.25">
      <c r="A11" s="7" t="s">
        <v>135</v>
      </c>
    </row>
    <row r="12" spans="1:8" ht="15.75" x14ac:dyDescent="0.25">
      <c r="A12" s="10" t="s">
        <v>136</v>
      </c>
    </row>
    <row r="13" spans="1:8" x14ac:dyDescent="0.25">
      <c r="A13" s="50" t="s">
        <v>39</v>
      </c>
      <c r="B13" s="50" t="s">
        <v>121</v>
      </c>
    </row>
    <row r="14" spans="1:8" x14ac:dyDescent="0.25">
      <c r="A14" s="44" t="s">
        <v>54</v>
      </c>
      <c r="B14" s="12"/>
    </row>
    <row r="15" spans="1:8" x14ac:dyDescent="0.25">
      <c r="A15" s="44" t="s">
        <v>63</v>
      </c>
      <c r="B15" s="12"/>
    </row>
    <row r="16" spans="1:8" x14ac:dyDescent="0.25">
      <c r="A16" s="44" t="s">
        <v>48</v>
      </c>
      <c r="B16" s="12"/>
    </row>
    <row r="17" spans="1:2" x14ac:dyDescent="0.25">
      <c r="A17" s="44"/>
      <c r="B17" s="51" t="s">
        <v>137</v>
      </c>
    </row>
    <row r="18" spans="1:2" x14ac:dyDescent="0.25">
      <c r="A18" s="44"/>
      <c r="B18" s="51" t="s">
        <v>137</v>
      </c>
    </row>
    <row r="19" spans="1:2" x14ac:dyDescent="0.25">
      <c r="A19" s="44"/>
      <c r="B19" s="51" t="s">
        <v>137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71"/>
  <sheetViews>
    <sheetView showGridLines="0" zoomScaleNormal="100" workbookViewId="0">
      <pane ySplit="1" topLeftCell="A8" activePane="bottomLeft" state="frozen"/>
      <selection pane="bottomLeft"/>
    </sheetView>
  </sheetViews>
  <sheetFormatPr baseColWidth="10" defaultColWidth="8.7109375" defaultRowHeight="15" x14ac:dyDescent="0.25"/>
  <cols>
    <col min="1" max="1" width="26" customWidth="1"/>
    <col min="2" max="2" width="22" customWidth="1"/>
    <col min="3" max="4" width="16" customWidth="1"/>
  </cols>
  <sheetData>
    <row r="1" spans="1:4" ht="27.75" customHeight="1" x14ac:dyDescent="0.25">
      <c r="A1" s="11" t="s">
        <v>38</v>
      </c>
      <c r="B1" s="11" t="s">
        <v>39</v>
      </c>
      <c r="C1" s="11" t="s">
        <v>138</v>
      </c>
      <c r="D1" s="11" t="s">
        <v>139</v>
      </c>
    </row>
    <row r="2" spans="1:4" x14ac:dyDescent="0.25">
      <c r="A2" s="15" t="s">
        <v>86</v>
      </c>
      <c r="B2" s="15" t="s">
        <v>54</v>
      </c>
      <c r="C2" s="52">
        <f>IF($A2="","",COUNTIFS(Zuteilungen!$D$2:$D$200,$A2,Zuteilungen!$F$2:$F$200,"x")+IF(Uebersicht!$B$5="JA",COUNTIFS(Zuteilungen!$D$2:$D$200,$A2,Zuteilungen!$F$2:$F$200,"OK"),0))</f>
        <v>1</v>
      </c>
      <c r="D2" s="53">
        <f>IF($A2="","",SUMIFS(Zuteilungen!$H$2:$H$200,Zuteilungen!$D$2:$D$200,$A2,Zuteilungen!$F$2:$F$200,"x")+IF(Uebersicht!$B$5="JA",SUMIFS(Zuteilungen!$H$2:$H$200,Zuteilungen!$D$2:$D$200,$A2,Zuteilungen!$F$2:$F$200,"OK"),0))</f>
        <v>5</v>
      </c>
    </row>
    <row r="3" spans="1:4" x14ac:dyDescent="0.25">
      <c r="A3" s="12" t="s">
        <v>95</v>
      </c>
      <c r="B3" s="12" t="s">
        <v>54</v>
      </c>
      <c r="C3" s="54">
        <f>IF($A3="","",COUNTIFS(Zuteilungen!$D$2:$D$200,$A3,Zuteilungen!$F$2:$F$200,"x")+IF(Uebersicht!$B$5="JA",COUNTIFS(Zuteilungen!$D$2:$D$200,$A3,Zuteilungen!$F$2:$F$200,"OK"),0))</f>
        <v>4</v>
      </c>
      <c r="D3" s="55">
        <f>IF($A3="","",SUMIFS(Zuteilungen!$H$2:$H$200,Zuteilungen!$D$2:$D$200,$A3,Zuteilungen!$F$2:$F$200,"x")+IF(Uebersicht!$B$5="JA",SUMIFS(Zuteilungen!$H$2:$H$200,Zuteilungen!$D$2:$D$200,$A3,Zuteilungen!$F$2:$F$200,"OK"),0))</f>
        <v>18</v>
      </c>
    </row>
    <row r="4" spans="1:4" x14ac:dyDescent="0.25">
      <c r="A4" s="15" t="s">
        <v>105</v>
      </c>
      <c r="B4" s="15" t="s">
        <v>54</v>
      </c>
      <c r="C4" s="52">
        <f>IF($A4="","",COUNTIFS(Zuteilungen!$D$2:$D$200,$A4,Zuteilungen!$F$2:$F$200,"x")+IF(Uebersicht!$B$5="JA",COUNTIFS(Zuteilungen!$D$2:$D$200,$A4,Zuteilungen!$F$2:$F$200,"OK"),0))</f>
        <v>2</v>
      </c>
      <c r="D4" s="53">
        <f>IF($A4="","",SUMIFS(Zuteilungen!$H$2:$H$200,Zuteilungen!$D$2:$D$200,$A4,Zuteilungen!$F$2:$F$200,"x")+IF(Uebersicht!$B$5="JA",SUMIFS(Zuteilungen!$H$2:$H$200,Zuteilungen!$D$2:$D$200,$A4,Zuteilungen!$F$2:$F$200,"OK"),0))</f>
        <v>10</v>
      </c>
    </row>
    <row r="5" spans="1:4" x14ac:dyDescent="0.25">
      <c r="A5" s="12" t="s">
        <v>107</v>
      </c>
      <c r="B5" s="12" t="s">
        <v>54</v>
      </c>
      <c r="C5" s="54">
        <f>IF($A5="","",COUNTIFS(Zuteilungen!$D$2:$D$200,$A5,Zuteilungen!$F$2:$F$200,"x")+IF(Uebersicht!$B$5="JA",COUNTIFS(Zuteilungen!$D$2:$D$200,$A5,Zuteilungen!$F$2:$F$200,"OK"),0))</f>
        <v>3</v>
      </c>
      <c r="D5" s="55">
        <f>IF($A5="","",SUMIFS(Zuteilungen!$H$2:$H$200,Zuteilungen!$D$2:$D$200,$A5,Zuteilungen!$F$2:$F$200,"x")+IF(Uebersicht!$B$5="JA",SUMIFS(Zuteilungen!$H$2:$H$200,Zuteilungen!$D$2:$D$200,$A5,Zuteilungen!$F$2:$F$200,"OK"),0))</f>
        <v>15</v>
      </c>
    </row>
    <row r="6" spans="1:4" x14ac:dyDescent="0.25">
      <c r="A6" s="15" t="s">
        <v>66</v>
      </c>
      <c r="B6" s="15" t="s">
        <v>54</v>
      </c>
      <c r="C6" s="52">
        <f>IF($A6="","",COUNTIFS(Zuteilungen!$D$2:$D$200,$A6,Zuteilungen!$F$2:$F$200,"x")+IF(Uebersicht!$B$5="JA",COUNTIFS(Zuteilungen!$D$2:$D$200,$A6,Zuteilungen!$F$2:$F$200,"OK"),0))</f>
        <v>0</v>
      </c>
      <c r="D6" s="53">
        <f>IF($A6="","",SUMIFS(Zuteilungen!$H$2:$H$200,Zuteilungen!$D$2:$D$200,$A6,Zuteilungen!$F$2:$F$200,"x")+IF(Uebersicht!$B$5="JA",SUMIFS(Zuteilungen!$H$2:$H$200,Zuteilungen!$D$2:$D$200,$A6,Zuteilungen!$F$2:$F$200,"OK"),0))</f>
        <v>0</v>
      </c>
    </row>
    <row r="7" spans="1:4" x14ac:dyDescent="0.25">
      <c r="A7" s="12" t="s">
        <v>72</v>
      </c>
      <c r="B7" s="12" t="s">
        <v>54</v>
      </c>
      <c r="C7" s="54">
        <f>IF($A7="","",COUNTIFS(Zuteilungen!$D$2:$D$200,$A7,Zuteilungen!$F$2:$F$200,"x")+IF(Uebersicht!$B$5="JA",COUNTIFS(Zuteilungen!$D$2:$D$200,$A7,Zuteilungen!$F$2:$F$200,"OK"),0))</f>
        <v>2</v>
      </c>
      <c r="D7" s="55">
        <f>IF($A7="","",SUMIFS(Zuteilungen!$H$2:$H$200,Zuteilungen!$D$2:$D$200,$A7,Zuteilungen!$F$2:$F$200,"x")+IF(Uebersicht!$B$5="JA",SUMIFS(Zuteilungen!$H$2:$H$200,Zuteilungen!$D$2:$D$200,$A7,Zuteilungen!$F$2:$F$200,"OK"),0))</f>
        <v>10</v>
      </c>
    </row>
    <row r="8" spans="1:4" x14ac:dyDescent="0.25">
      <c r="A8" s="15" t="s">
        <v>76</v>
      </c>
      <c r="B8" s="15" t="s">
        <v>54</v>
      </c>
      <c r="C8" s="52">
        <f>IF($A8="","",COUNTIFS(Zuteilungen!$D$2:$D$200,$A8,Zuteilungen!$F$2:$F$200,"x")+IF(Uebersicht!$B$5="JA",COUNTIFS(Zuteilungen!$D$2:$D$200,$A8,Zuteilungen!$F$2:$F$200,"OK"),0))</f>
        <v>0</v>
      </c>
      <c r="D8" s="53">
        <f>IF($A8="","",SUMIFS(Zuteilungen!$H$2:$H$200,Zuteilungen!$D$2:$D$200,$A8,Zuteilungen!$F$2:$F$200,"x")+IF(Uebersicht!$B$5="JA",SUMIFS(Zuteilungen!$H$2:$H$200,Zuteilungen!$D$2:$D$200,$A8,Zuteilungen!$F$2:$F$200,"OK"),0))</f>
        <v>0</v>
      </c>
    </row>
    <row r="9" spans="1:4" x14ac:dyDescent="0.25">
      <c r="A9" s="12" t="s">
        <v>53</v>
      </c>
      <c r="B9" s="12" t="s">
        <v>54</v>
      </c>
      <c r="C9" s="54">
        <f>IF($A9="","",COUNTIFS(Zuteilungen!$D$2:$D$200,$A9,Zuteilungen!$F$2:$F$200,"x")+IF(Uebersicht!$B$5="JA",COUNTIFS(Zuteilungen!$D$2:$D$200,$A9,Zuteilungen!$F$2:$F$200,"OK"),0))</f>
        <v>3</v>
      </c>
      <c r="D9" s="55">
        <f>IF($A9="","",SUMIFS(Zuteilungen!$H$2:$H$200,Zuteilungen!$D$2:$D$200,$A9,Zuteilungen!$F$2:$F$200,"x")+IF(Uebersicht!$B$5="JA",SUMIFS(Zuteilungen!$H$2:$H$200,Zuteilungen!$D$2:$D$200,$A9,Zuteilungen!$F$2:$F$200,"OK"),0))</f>
        <v>13</v>
      </c>
    </row>
    <row r="10" spans="1:4" x14ac:dyDescent="0.25">
      <c r="A10" s="15" t="s">
        <v>74</v>
      </c>
      <c r="B10" s="15" t="s">
        <v>54</v>
      </c>
      <c r="C10" s="52">
        <f>IF($A10="","",COUNTIFS(Zuteilungen!$D$2:$D$200,$A10,Zuteilungen!$F$2:$F$200,"x")+IF(Uebersicht!$B$5="JA",COUNTIFS(Zuteilungen!$D$2:$D$200,$A10,Zuteilungen!$F$2:$F$200,"OK"),0))</f>
        <v>0</v>
      </c>
      <c r="D10" s="53">
        <f>IF($A10="","",SUMIFS(Zuteilungen!$H$2:$H$200,Zuteilungen!$D$2:$D$200,$A10,Zuteilungen!$F$2:$F$200,"x")+IF(Uebersicht!$B$5="JA",SUMIFS(Zuteilungen!$H$2:$H$200,Zuteilungen!$D$2:$D$200,$A10,Zuteilungen!$F$2:$F$200,"OK"),0))</f>
        <v>0</v>
      </c>
    </row>
    <row r="11" spans="1:4" x14ac:dyDescent="0.25">
      <c r="A11" s="12" t="s">
        <v>108</v>
      </c>
      <c r="B11" s="12" t="s">
        <v>54</v>
      </c>
      <c r="C11" s="54">
        <f>IF($A11="","",COUNTIFS(Zuteilungen!$D$2:$D$200,$A11,Zuteilungen!$F$2:$F$200,"x")+IF(Uebersicht!$B$5="JA",COUNTIFS(Zuteilungen!$D$2:$D$200,$A11,Zuteilungen!$F$2:$F$200,"OK"),0))</f>
        <v>3</v>
      </c>
      <c r="D11" s="55">
        <f>IF($A11="","",SUMIFS(Zuteilungen!$H$2:$H$200,Zuteilungen!$D$2:$D$200,$A11,Zuteilungen!$F$2:$F$200,"x")+IF(Uebersicht!$B$5="JA",SUMIFS(Zuteilungen!$H$2:$H$200,Zuteilungen!$D$2:$D$200,$A11,Zuteilungen!$F$2:$F$200,"OK"),0))</f>
        <v>13</v>
      </c>
    </row>
    <row r="12" spans="1:4" x14ac:dyDescent="0.25">
      <c r="A12" s="15" t="s">
        <v>97</v>
      </c>
      <c r="B12" s="15" t="s">
        <v>54</v>
      </c>
      <c r="C12" s="52">
        <f>IF($A12="","",COUNTIFS(Zuteilungen!$D$2:$D$200,$A12,Zuteilungen!$F$2:$F$200,"x")+IF(Uebersicht!$B$5="JA",COUNTIFS(Zuteilungen!$D$2:$D$200,$A12,Zuteilungen!$F$2:$F$200,"OK"),0))</f>
        <v>2</v>
      </c>
      <c r="D12" s="53">
        <f>IF($A12="","",SUMIFS(Zuteilungen!$H$2:$H$200,Zuteilungen!$D$2:$D$200,$A12,Zuteilungen!$F$2:$F$200,"x")+IF(Uebersicht!$B$5="JA",SUMIFS(Zuteilungen!$H$2:$H$200,Zuteilungen!$D$2:$D$200,$A12,Zuteilungen!$F$2:$F$200,"OK"),0))</f>
        <v>8</v>
      </c>
    </row>
    <row r="13" spans="1:4" x14ac:dyDescent="0.25">
      <c r="A13" s="12" t="s">
        <v>96</v>
      </c>
      <c r="B13" s="12" t="s">
        <v>54</v>
      </c>
      <c r="C13" s="54">
        <f>IF($A13="","",COUNTIFS(Zuteilungen!$D$2:$D$200,$A13,Zuteilungen!$F$2:$F$200,"x")+IF(Uebersicht!$B$5="JA",COUNTIFS(Zuteilungen!$D$2:$D$200,$A13,Zuteilungen!$F$2:$F$200,"OK"),0))</f>
        <v>3</v>
      </c>
      <c r="D13" s="55">
        <f>IF($A13="","",SUMIFS(Zuteilungen!$H$2:$H$200,Zuteilungen!$D$2:$D$200,$A13,Zuteilungen!$F$2:$F$200,"x")+IF(Uebersicht!$B$5="JA",SUMIFS(Zuteilungen!$H$2:$H$200,Zuteilungen!$D$2:$D$200,$A13,Zuteilungen!$F$2:$F$200,"OK"),0))</f>
        <v>13</v>
      </c>
    </row>
    <row r="14" spans="1:4" x14ac:dyDescent="0.25">
      <c r="A14" s="15" t="s">
        <v>101</v>
      </c>
      <c r="B14" s="15" t="s">
        <v>54</v>
      </c>
      <c r="C14" s="52">
        <f>IF($A14="","",COUNTIFS(Zuteilungen!$D$2:$D$200,$A14,Zuteilungen!$F$2:$F$200,"x")+IF(Uebersicht!$B$5="JA",COUNTIFS(Zuteilungen!$D$2:$D$200,$A14,Zuteilungen!$F$2:$F$200,"OK"),0))</f>
        <v>1</v>
      </c>
      <c r="D14" s="53">
        <f>IF($A14="","",SUMIFS(Zuteilungen!$H$2:$H$200,Zuteilungen!$D$2:$D$200,$A14,Zuteilungen!$F$2:$F$200,"x")+IF(Uebersicht!$B$5="JA",SUMIFS(Zuteilungen!$H$2:$H$200,Zuteilungen!$D$2:$D$200,$A14,Zuteilungen!$F$2:$F$200,"OK"),0))</f>
        <v>5</v>
      </c>
    </row>
    <row r="15" spans="1:4" x14ac:dyDescent="0.25">
      <c r="A15" s="12" t="s">
        <v>62</v>
      </c>
      <c r="B15" s="12" t="s">
        <v>63</v>
      </c>
      <c r="C15" s="54">
        <f>IF($A15="","",COUNTIFS(Zuteilungen!$D$2:$D$200,$A15,Zuteilungen!$F$2:$F$200,"x")+IF(Uebersicht!$B$5="JA",COUNTIFS(Zuteilungen!$D$2:$D$200,$A15,Zuteilungen!$F$2:$F$200,"OK"),0))</f>
        <v>1</v>
      </c>
      <c r="D15" s="55">
        <f>IF($A15="","",SUMIFS(Zuteilungen!$H$2:$H$200,Zuteilungen!$D$2:$D$200,$A15,Zuteilungen!$F$2:$F$200,"x")+IF(Uebersicht!$B$5="JA",SUMIFS(Zuteilungen!$H$2:$H$200,Zuteilungen!$D$2:$D$200,$A15,Zuteilungen!$F$2:$F$200,"OK"),0))</f>
        <v>3</v>
      </c>
    </row>
    <row r="16" spans="1:4" x14ac:dyDescent="0.25">
      <c r="A16" s="15" t="s">
        <v>100</v>
      </c>
      <c r="B16" s="15" t="s">
        <v>63</v>
      </c>
      <c r="C16" s="52">
        <f>IF($A16="","",COUNTIFS(Zuteilungen!$D$2:$D$200,$A16,Zuteilungen!$F$2:$F$200,"x")+IF(Uebersicht!$B$5="JA",COUNTIFS(Zuteilungen!$D$2:$D$200,$A16,Zuteilungen!$F$2:$F$200,"OK"),0))</f>
        <v>1</v>
      </c>
      <c r="D16" s="53">
        <f>IF($A16="","",SUMIFS(Zuteilungen!$H$2:$H$200,Zuteilungen!$D$2:$D$200,$A16,Zuteilungen!$F$2:$F$200,"x")+IF(Uebersicht!$B$5="JA",SUMIFS(Zuteilungen!$H$2:$H$200,Zuteilungen!$D$2:$D$200,$A16,Zuteilungen!$F$2:$F$200,"OK"),0))</f>
        <v>3</v>
      </c>
    </row>
    <row r="17" spans="1:4" x14ac:dyDescent="0.25">
      <c r="A17" s="12" t="s">
        <v>90</v>
      </c>
      <c r="B17" s="12" t="s">
        <v>63</v>
      </c>
      <c r="C17" s="54">
        <f>IF($A17="","",COUNTIFS(Zuteilungen!$D$2:$D$200,$A17,Zuteilungen!$F$2:$F$200,"x")+IF(Uebersicht!$B$5="JA",COUNTIFS(Zuteilungen!$D$2:$D$200,$A17,Zuteilungen!$F$2:$F$200,"OK"),0))</f>
        <v>1</v>
      </c>
      <c r="D17" s="55">
        <f>IF($A17="","",SUMIFS(Zuteilungen!$H$2:$H$200,Zuteilungen!$D$2:$D$200,$A17,Zuteilungen!$F$2:$F$200,"x")+IF(Uebersicht!$B$5="JA",SUMIFS(Zuteilungen!$H$2:$H$200,Zuteilungen!$D$2:$D$200,$A17,Zuteilungen!$F$2:$F$200,"OK"),0))</f>
        <v>3</v>
      </c>
    </row>
    <row r="18" spans="1:4" x14ac:dyDescent="0.25">
      <c r="A18" s="15" t="s">
        <v>102</v>
      </c>
      <c r="B18" s="15" t="s">
        <v>63</v>
      </c>
      <c r="C18" s="52">
        <f>IF($A18="","",COUNTIFS(Zuteilungen!$D$2:$D$200,$A18,Zuteilungen!$F$2:$F$200,"x")+IF(Uebersicht!$B$5="JA",COUNTIFS(Zuteilungen!$D$2:$D$200,$A18,Zuteilungen!$F$2:$F$200,"OK"),0))</f>
        <v>4</v>
      </c>
      <c r="D18" s="53">
        <f>IF($A18="","",SUMIFS(Zuteilungen!$H$2:$H$200,Zuteilungen!$D$2:$D$200,$A18,Zuteilungen!$F$2:$F$200,"x")+IF(Uebersicht!$B$5="JA",SUMIFS(Zuteilungen!$H$2:$H$200,Zuteilungen!$D$2:$D$200,$A18,Zuteilungen!$F$2:$F$200,"OK"),0))</f>
        <v>18</v>
      </c>
    </row>
    <row r="19" spans="1:4" x14ac:dyDescent="0.25">
      <c r="A19" s="12" t="s">
        <v>93</v>
      </c>
      <c r="B19" s="12" t="s">
        <v>63</v>
      </c>
      <c r="C19" s="54">
        <f>IF($A19="","",COUNTIFS(Zuteilungen!$D$2:$D$200,$A19,Zuteilungen!$F$2:$F$200,"x")+IF(Uebersicht!$B$5="JA",COUNTIFS(Zuteilungen!$D$2:$D$200,$A19,Zuteilungen!$F$2:$F$200,"OK"),0))</f>
        <v>2</v>
      </c>
      <c r="D19" s="55">
        <f>IF($A19="","",SUMIFS(Zuteilungen!$H$2:$H$200,Zuteilungen!$D$2:$D$200,$A19,Zuteilungen!$F$2:$F$200,"x")+IF(Uebersicht!$B$5="JA",SUMIFS(Zuteilungen!$H$2:$H$200,Zuteilungen!$D$2:$D$200,$A19,Zuteilungen!$F$2:$F$200,"OK"),0))</f>
        <v>8</v>
      </c>
    </row>
    <row r="20" spans="1:4" x14ac:dyDescent="0.25">
      <c r="A20" s="15" t="s">
        <v>88</v>
      </c>
      <c r="B20" s="15" t="s">
        <v>63</v>
      </c>
      <c r="C20" s="52">
        <f>IF($A20="","",COUNTIFS(Zuteilungen!$D$2:$D$200,$A20,Zuteilungen!$F$2:$F$200,"x")+IF(Uebersicht!$B$5="JA",COUNTIFS(Zuteilungen!$D$2:$D$200,$A20,Zuteilungen!$F$2:$F$200,"OK"),0))</f>
        <v>2</v>
      </c>
      <c r="D20" s="53">
        <f>IF($A20="","",SUMIFS(Zuteilungen!$H$2:$H$200,Zuteilungen!$D$2:$D$200,$A20,Zuteilungen!$F$2:$F$200,"x")+IF(Uebersicht!$B$5="JA",SUMIFS(Zuteilungen!$H$2:$H$200,Zuteilungen!$D$2:$D$200,$A20,Zuteilungen!$F$2:$F$200,"OK"),0))</f>
        <v>8</v>
      </c>
    </row>
    <row r="21" spans="1:4" x14ac:dyDescent="0.25">
      <c r="A21" s="12" t="s">
        <v>82</v>
      </c>
      <c r="B21" s="12" t="s">
        <v>63</v>
      </c>
      <c r="C21" s="54">
        <f>IF($A21="","",COUNTIFS(Zuteilungen!$D$2:$D$200,$A21,Zuteilungen!$F$2:$F$200,"x")+IF(Uebersicht!$B$5="JA",COUNTIFS(Zuteilungen!$D$2:$D$200,$A21,Zuteilungen!$F$2:$F$200,"OK"),0))</f>
        <v>0</v>
      </c>
      <c r="D21" s="55">
        <f>IF($A21="","",SUMIFS(Zuteilungen!$H$2:$H$200,Zuteilungen!$D$2:$D$200,$A21,Zuteilungen!$F$2:$F$200,"x")+IF(Uebersicht!$B$5="JA",SUMIFS(Zuteilungen!$H$2:$H$200,Zuteilungen!$D$2:$D$200,$A21,Zuteilungen!$F$2:$F$200,"OK"),0))</f>
        <v>0</v>
      </c>
    </row>
    <row r="22" spans="1:4" x14ac:dyDescent="0.25">
      <c r="A22" s="15" t="s">
        <v>80</v>
      </c>
      <c r="B22" s="15" t="s">
        <v>63</v>
      </c>
      <c r="C22" s="52">
        <f>IF($A22="","",COUNTIFS(Zuteilungen!$D$2:$D$200,$A22,Zuteilungen!$F$2:$F$200,"x")+IF(Uebersicht!$B$5="JA",COUNTIFS(Zuteilungen!$D$2:$D$200,$A22,Zuteilungen!$F$2:$F$200,"OK"),0))</f>
        <v>0</v>
      </c>
      <c r="D22" s="53">
        <f>IF($A22="","",SUMIFS(Zuteilungen!$H$2:$H$200,Zuteilungen!$D$2:$D$200,$A22,Zuteilungen!$F$2:$F$200,"x")+IF(Uebersicht!$B$5="JA",SUMIFS(Zuteilungen!$H$2:$H$200,Zuteilungen!$D$2:$D$200,$A22,Zuteilungen!$F$2:$F$200,"OK"),0))</f>
        <v>0</v>
      </c>
    </row>
    <row r="23" spans="1:4" x14ac:dyDescent="0.25">
      <c r="A23" s="12" t="s">
        <v>65</v>
      </c>
      <c r="B23" s="12" t="s">
        <v>63</v>
      </c>
      <c r="C23" s="54">
        <f>IF($A23="","",COUNTIFS(Zuteilungen!$D$2:$D$200,$A23,Zuteilungen!$F$2:$F$200,"x")+IF(Uebersicht!$B$5="JA",COUNTIFS(Zuteilungen!$D$2:$D$200,$A23,Zuteilungen!$F$2:$F$200,"OK"),0))</f>
        <v>2</v>
      </c>
      <c r="D23" s="55">
        <f>IF($A23="","",SUMIFS(Zuteilungen!$H$2:$H$200,Zuteilungen!$D$2:$D$200,$A23,Zuteilungen!$F$2:$F$200,"x")+IF(Uebersicht!$B$5="JA",SUMIFS(Zuteilungen!$H$2:$H$200,Zuteilungen!$D$2:$D$200,$A23,Zuteilungen!$F$2:$F$200,"OK"),0))</f>
        <v>10</v>
      </c>
    </row>
    <row r="24" spans="1:4" x14ac:dyDescent="0.25">
      <c r="A24" s="15" t="s">
        <v>70</v>
      </c>
      <c r="B24" s="15" t="s">
        <v>63</v>
      </c>
      <c r="C24" s="52">
        <f>IF($A24="","",COUNTIFS(Zuteilungen!$D$2:$D$200,$A24,Zuteilungen!$F$2:$F$200,"x")+IF(Uebersicht!$B$5="JA",COUNTIFS(Zuteilungen!$D$2:$D$200,$A24,Zuteilungen!$F$2:$F$200,"OK"),0))</f>
        <v>1</v>
      </c>
      <c r="D24" s="53">
        <f>IF($A24="","",SUMIFS(Zuteilungen!$H$2:$H$200,Zuteilungen!$D$2:$D$200,$A24,Zuteilungen!$F$2:$F$200,"x")+IF(Uebersicht!$B$5="JA",SUMIFS(Zuteilungen!$H$2:$H$200,Zuteilungen!$D$2:$D$200,$A24,Zuteilungen!$F$2:$F$200,"OK"),0))</f>
        <v>5</v>
      </c>
    </row>
    <row r="25" spans="1:4" x14ac:dyDescent="0.25">
      <c r="A25" s="12" t="s">
        <v>85</v>
      </c>
      <c r="B25" s="12" t="s">
        <v>63</v>
      </c>
      <c r="C25" s="54">
        <f>IF($A25="","",COUNTIFS(Zuteilungen!$D$2:$D$200,$A25,Zuteilungen!$F$2:$F$200,"x")+IF(Uebersicht!$B$5="JA",COUNTIFS(Zuteilungen!$D$2:$D$200,$A25,Zuteilungen!$F$2:$F$200,"OK"),0))</f>
        <v>1</v>
      </c>
      <c r="D25" s="55">
        <f>IF($A25="","",SUMIFS(Zuteilungen!$H$2:$H$200,Zuteilungen!$D$2:$D$200,$A25,Zuteilungen!$F$2:$F$200,"x")+IF(Uebersicht!$B$5="JA",SUMIFS(Zuteilungen!$H$2:$H$200,Zuteilungen!$D$2:$D$200,$A25,Zuteilungen!$F$2:$F$200,"OK"),0))</f>
        <v>3</v>
      </c>
    </row>
    <row r="26" spans="1:4" x14ac:dyDescent="0.25">
      <c r="A26" s="15" t="s">
        <v>92</v>
      </c>
      <c r="B26" s="15" t="s">
        <v>63</v>
      </c>
      <c r="C26" s="52">
        <f>IF($A26="","",COUNTIFS(Zuteilungen!$D$2:$D$200,$A26,Zuteilungen!$F$2:$F$200,"x")+IF(Uebersicht!$B$5="JA",COUNTIFS(Zuteilungen!$D$2:$D$200,$A26,Zuteilungen!$F$2:$F$200,"OK"),0))</f>
        <v>2</v>
      </c>
      <c r="D26" s="53">
        <f>IF($A26="","",SUMIFS(Zuteilungen!$H$2:$H$200,Zuteilungen!$D$2:$D$200,$A26,Zuteilungen!$F$2:$F$200,"x")+IF(Uebersicht!$B$5="JA",SUMIFS(Zuteilungen!$H$2:$H$200,Zuteilungen!$D$2:$D$200,$A26,Zuteilungen!$F$2:$F$200,"OK"),0))</f>
        <v>10</v>
      </c>
    </row>
    <row r="27" spans="1:4" x14ac:dyDescent="0.25">
      <c r="A27" s="12" t="s">
        <v>103</v>
      </c>
      <c r="B27" s="12" t="s">
        <v>63</v>
      </c>
      <c r="C27" s="54">
        <f>IF($A27="","",COUNTIFS(Zuteilungen!$D$2:$D$200,$A27,Zuteilungen!$F$2:$F$200,"x")+IF(Uebersicht!$B$5="JA",COUNTIFS(Zuteilungen!$D$2:$D$200,$A27,Zuteilungen!$F$2:$F$200,"OK"),0))</f>
        <v>3</v>
      </c>
      <c r="D27" s="55">
        <f>IF($A27="","",SUMIFS(Zuteilungen!$H$2:$H$200,Zuteilungen!$D$2:$D$200,$A27,Zuteilungen!$F$2:$F$200,"x")+IF(Uebersicht!$B$5="JA",SUMIFS(Zuteilungen!$H$2:$H$200,Zuteilungen!$D$2:$D$200,$A27,Zuteilungen!$F$2:$F$200,"OK"),0))</f>
        <v>13</v>
      </c>
    </row>
    <row r="28" spans="1:4" x14ac:dyDescent="0.25">
      <c r="A28" s="15" t="s">
        <v>89</v>
      </c>
      <c r="B28" s="15" t="s">
        <v>63</v>
      </c>
      <c r="C28" s="52">
        <f>IF($A28="","",COUNTIFS(Zuteilungen!$D$2:$D$200,$A28,Zuteilungen!$F$2:$F$200,"x")+IF(Uebersicht!$B$5="JA",COUNTIFS(Zuteilungen!$D$2:$D$200,$A28,Zuteilungen!$F$2:$F$200,"OK"),0))</f>
        <v>1</v>
      </c>
      <c r="D28" s="53">
        <f>IF($A28="","",SUMIFS(Zuteilungen!$H$2:$H$200,Zuteilungen!$D$2:$D$200,$A28,Zuteilungen!$F$2:$F$200,"x")+IF(Uebersicht!$B$5="JA",SUMIFS(Zuteilungen!$H$2:$H$200,Zuteilungen!$D$2:$D$200,$A28,Zuteilungen!$F$2:$F$200,"OK"),0))</f>
        <v>5</v>
      </c>
    </row>
    <row r="29" spans="1:4" x14ac:dyDescent="0.25">
      <c r="A29" s="12" t="s">
        <v>110</v>
      </c>
      <c r="B29" s="12" t="s">
        <v>63</v>
      </c>
      <c r="C29" s="54">
        <f>IF($A29="","",COUNTIFS(Zuteilungen!$D$2:$D$200,$A29,Zuteilungen!$F$2:$F$200,"x")+IF(Uebersicht!$B$5="JA",COUNTIFS(Zuteilungen!$D$2:$D$200,$A29,Zuteilungen!$F$2:$F$200,"OK"),0))</f>
        <v>2</v>
      </c>
      <c r="D29" s="55">
        <f>IF($A29="","",SUMIFS(Zuteilungen!$H$2:$H$200,Zuteilungen!$D$2:$D$200,$A29,Zuteilungen!$F$2:$F$200,"x")+IF(Uebersicht!$B$5="JA",SUMIFS(Zuteilungen!$H$2:$H$200,Zuteilungen!$D$2:$D$200,$A29,Zuteilungen!$F$2:$F$200,"OK"),0))</f>
        <v>8</v>
      </c>
    </row>
    <row r="30" spans="1:4" x14ac:dyDescent="0.25">
      <c r="A30" s="15" t="s">
        <v>87</v>
      </c>
      <c r="B30" s="15" t="s">
        <v>63</v>
      </c>
      <c r="C30" s="52">
        <f>IF($A30="","",COUNTIFS(Zuteilungen!$D$2:$D$200,$A30,Zuteilungen!$F$2:$F$200,"x")+IF(Uebersicht!$B$5="JA",COUNTIFS(Zuteilungen!$D$2:$D$200,$A30,Zuteilungen!$F$2:$F$200,"OK"),0))</f>
        <v>1</v>
      </c>
      <c r="D30" s="53">
        <f>IF($A30="","",SUMIFS(Zuteilungen!$H$2:$H$200,Zuteilungen!$D$2:$D$200,$A30,Zuteilungen!$F$2:$F$200,"x")+IF(Uebersicht!$B$5="JA",SUMIFS(Zuteilungen!$H$2:$H$200,Zuteilungen!$D$2:$D$200,$A30,Zuteilungen!$F$2:$F$200,"OK"),0))</f>
        <v>5</v>
      </c>
    </row>
    <row r="31" spans="1:4" x14ac:dyDescent="0.25">
      <c r="A31" s="12" t="s">
        <v>56</v>
      </c>
      <c r="B31" s="12" t="s">
        <v>48</v>
      </c>
      <c r="C31" s="54">
        <f>IF($A31="","",COUNTIFS(Zuteilungen!$D$2:$D$200,$A31,Zuteilungen!$F$2:$F$200,"x")+IF(Uebersicht!$B$5="JA",COUNTIFS(Zuteilungen!$D$2:$D$200,$A31,Zuteilungen!$F$2:$F$200,"OK"),0))</f>
        <v>2</v>
      </c>
      <c r="D31" s="55">
        <f>IF($A31="","",SUMIFS(Zuteilungen!$H$2:$H$200,Zuteilungen!$D$2:$D$200,$A31,Zuteilungen!$F$2:$F$200,"x")+IF(Uebersicht!$B$5="JA",SUMIFS(Zuteilungen!$H$2:$H$200,Zuteilungen!$D$2:$D$200,$A31,Zuteilungen!$F$2:$F$200,"OK"),0))</f>
        <v>10</v>
      </c>
    </row>
    <row r="32" spans="1:4" x14ac:dyDescent="0.25">
      <c r="A32" s="15" t="s">
        <v>109</v>
      </c>
      <c r="B32" s="15" t="s">
        <v>48</v>
      </c>
      <c r="C32" s="52">
        <f>IF($A32="","",COUNTIFS(Zuteilungen!$D$2:$D$200,$A32,Zuteilungen!$F$2:$F$200,"x")+IF(Uebersicht!$B$5="JA",COUNTIFS(Zuteilungen!$D$2:$D$200,$A32,Zuteilungen!$F$2:$F$200,"OK"),0))</f>
        <v>2</v>
      </c>
      <c r="D32" s="53">
        <f>IF($A32="","",SUMIFS(Zuteilungen!$H$2:$H$200,Zuteilungen!$D$2:$D$200,$A32,Zuteilungen!$F$2:$F$200,"x")+IF(Uebersicht!$B$5="JA",SUMIFS(Zuteilungen!$H$2:$H$200,Zuteilungen!$D$2:$D$200,$A32,Zuteilungen!$F$2:$F$200,"OK"),0))</f>
        <v>10</v>
      </c>
    </row>
    <row r="33" spans="1:4" x14ac:dyDescent="0.25">
      <c r="A33" s="12" t="s">
        <v>99</v>
      </c>
      <c r="B33" s="12" t="s">
        <v>48</v>
      </c>
      <c r="C33" s="54">
        <f>IF($A33="","",COUNTIFS(Zuteilungen!$D$2:$D$200,$A33,Zuteilungen!$F$2:$F$200,"x")+IF(Uebersicht!$B$5="JA",COUNTIFS(Zuteilungen!$D$2:$D$200,$A33,Zuteilungen!$F$2:$F$200,"OK"),0))</f>
        <v>3</v>
      </c>
      <c r="D33" s="55">
        <f>IF($A33="","",SUMIFS(Zuteilungen!$H$2:$H$200,Zuteilungen!$D$2:$D$200,$A33,Zuteilungen!$F$2:$F$200,"x")+IF(Uebersicht!$B$5="JA",SUMIFS(Zuteilungen!$H$2:$H$200,Zuteilungen!$D$2:$D$200,$A33,Zuteilungen!$F$2:$F$200,"OK"),0))</f>
        <v>15</v>
      </c>
    </row>
    <row r="34" spans="1:4" x14ac:dyDescent="0.25">
      <c r="A34" s="15" t="s">
        <v>61</v>
      </c>
      <c r="B34" s="15" t="s">
        <v>48</v>
      </c>
      <c r="C34" s="52">
        <f>IF($A34="","",COUNTIFS(Zuteilungen!$D$2:$D$200,$A34,Zuteilungen!$F$2:$F$200,"x")+IF(Uebersicht!$B$5="JA",COUNTIFS(Zuteilungen!$D$2:$D$200,$A34,Zuteilungen!$F$2:$F$200,"OK"),0))</f>
        <v>1</v>
      </c>
      <c r="D34" s="53">
        <f>IF($A34="","",SUMIFS(Zuteilungen!$H$2:$H$200,Zuteilungen!$D$2:$D$200,$A34,Zuteilungen!$F$2:$F$200,"x")+IF(Uebersicht!$B$5="JA",SUMIFS(Zuteilungen!$H$2:$H$200,Zuteilungen!$D$2:$D$200,$A34,Zuteilungen!$F$2:$F$200,"OK"),0))</f>
        <v>5</v>
      </c>
    </row>
    <row r="35" spans="1:4" x14ac:dyDescent="0.25">
      <c r="A35" s="12" t="s">
        <v>111</v>
      </c>
      <c r="B35" s="12" t="s">
        <v>48</v>
      </c>
      <c r="C35" s="54">
        <f>IF($A35="","",COUNTIFS(Zuteilungen!$D$2:$D$200,$A35,Zuteilungen!$F$2:$F$200,"x")+IF(Uebersicht!$B$5="JA",COUNTIFS(Zuteilungen!$D$2:$D$200,$A35,Zuteilungen!$F$2:$F$200,"OK"),0))</f>
        <v>3</v>
      </c>
      <c r="D35" s="55">
        <f>IF($A35="","",SUMIFS(Zuteilungen!$H$2:$H$200,Zuteilungen!$D$2:$D$200,$A35,Zuteilungen!$F$2:$F$200,"x")+IF(Uebersicht!$B$5="JA",SUMIFS(Zuteilungen!$H$2:$H$200,Zuteilungen!$D$2:$D$200,$A35,Zuteilungen!$F$2:$F$200,"OK"),0))</f>
        <v>13</v>
      </c>
    </row>
    <row r="36" spans="1:4" x14ac:dyDescent="0.25">
      <c r="A36" s="15" t="s">
        <v>58</v>
      </c>
      <c r="B36" s="15" t="s">
        <v>48</v>
      </c>
      <c r="C36" s="52">
        <f>IF($A36="","",COUNTIFS(Zuteilungen!$D$2:$D$200,$A36,Zuteilungen!$F$2:$F$200,"x")+IF(Uebersicht!$B$5="JA",COUNTIFS(Zuteilungen!$D$2:$D$200,$A36,Zuteilungen!$F$2:$F$200,"OK"),0))</f>
        <v>2</v>
      </c>
      <c r="D36" s="53">
        <f>IF($A36="","",SUMIFS(Zuteilungen!$H$2:$H$200,Zuteilungen!$D$2:$D$200,$A36,Zuteilungen!$F$2:$F$200,"x")+IF(Uebersicht!$B$5="JA",SUMIFS(Zuteilungen!$H$2:$H$200,Zuteilungen!$D$2:$D$200,$A36,Zuteilungen!$F$2:$F$200,"OK"),0))</f>
        <v>10</v>
      </c>
    </row>
    <row r="37" spans="1:4" x14ac:dyDescent="0.25">
      <c r="A37" s="12" t="s">
        <v>77</v>
      </c>
      <c r="B37" s="12" t="s">
        <v>48</v>
      </c>
      <c r="C37" s="54">
        <f>IF($A37="","",COUNTIFS(Zuteilungen!$D$2:$D$200,$A37,Zuteilungen!$F$2:$F$200,"x")+IF(Uebersicht!$B$5="JA",COUNTIFS(Zuteilungen!$D$2:$D$200,$A37,Zuteilungen!$F$2:$F$200,"OK"),0))</f>
        <v>1</v>
      </c>
      <c r="D37" s="55">
        <f>IF($A37="","",SUMIFS(Zuteilungen!$H$2:$H$200,Zuteilungen!$D$2:$D$200,$A37,Zuteilungen!$F$2:$F$200,"x")+IF(Uebersicht!$B$5="JA",SUMIFS(Zuteilungen!$H$2:$H$200,Zuteilungen!$D$2:$D$200,$A37,Zuteilungen!$F$2:$F$200,"OK"),0))</f>
        <v>5</v>
      </c>
    </row>
    <row r="38" spans="1:4" x14ac:dyDescent="0.25">
      <c r="A38" s="15" t="s">
        <v>60</v>
      </c>
      <c r="B38" s="15" t="s">
        <v>48</v>
      </c>
      <c r="C38" s="52">
        <f>IF($A38="","",COUNTIFS(Zuteilungen!$D$2:$D$200,$A38,Zuteilungen!$F$2:$F$200,"x")+IF(Uebersicht!$B$5="JA",COUNTIFS(Zuteilungen!$D$2:$D$200,$A38,Zuteilungen!$F$2:$F$200,"OK"),0))</f>
        <v>2</v>
      </c>
      <c r="D38" s="53">
        <f>IF($A38="","",SUMIFS(Zuteilungen!$H$2:$H$200,Zuteilungen!$D$2:$D$200,$A38,Zuteilungen!$F$2:$F$200,"x")+IF(Uebersicht!$B$5="JA",SUMIFS(Zuteilungen!$H$2:$H$200,Zuteilungen!$D$2:$D$200,$A38,Zuteilungen!$F$2:$F$200,"OK"),0))</f>
        <v>10</v>
      </c>
    </row>
    <row r="39" spans="1:4" x14ac:dyDescent="0.25">
      <c r="A39" s="12" t="s">
        <v>106</v>
      </c>
      <c r="B39" s="12" t="s">
        <v>48</v>
      </c>
      <c r="C39" s="54">
        <f>IF($A39="","",COUNTIFS(Zuteilungen!$D$2:$D$200,$A39,Zuteilungen!$F$2:$F$200,"x")+IF(Uebersicht!$B$5="JA",COUNTIFS(Zuteilungen!$D$2:$D$200,$A39,Zuteilungen!$F$2:$F$200,"OK"),0))</f>
        <v>2</v>
      </c>
      <c r="D39" s="55">
        <f>IF($A39="","",SUMIFS(Zuteilungen!$H$2:$H$200,Zuteilungen!$D$2:$D$200,$A39,Zuteilungen!$F$2:$F$200,"x")+IF(Uebersicht!$B$5="JA",SUMIFS(Zuteilungen!$H$2:$H$200,Zuteilungen!$D$2:$D$200,$A39,Zuteilungen!$F$2:$F$200,"OK"),0))</f>
        <v>8</v>
      </c>
    </row>
    <row r="40" spans="1:4" x14ac:dyDescent="0.25">
      <c r="A40" s="15" t="s">
        <v>69</v>
      </c>
      <c r="B40" s="15" t="s">
        <v>48</v>
      </c>
      <c r="C40" s="52">
        <f>IF($A40="","",COUNTIFS(Zuteilungen!$D$2:$D$200,$A40,Zuteilungen!$F$2:$F$200,"x")+IF(Uebersicht!$B$5="JA",COUNTIFS(Zuteilungen!$D$2:$D$200,$A40,Zuteilungen!$F$2:$F$200,"OK"),0))</f>
        <v>3</v>
      </c>
      <c r="D40" s="53">
        <f>IF($A40="","",SUMIFS(Zuteilungen!$H$2:$H$200,Zuteilungen!$D$2:$D$200,$A40,Zuteilungen!$F$2:$F$200,"x")+IF(Uebersicht!$B$5="JA",SUMIFS(Zuteilungen!$H$2:$H$200,Zuteilungen!$D$2:$D$200,$A40,Zuteilungen!$F$2:$F$200,"OK"),0))</f>
        <v>13</v>
      </c>
    </row>
    <row r="41" spans="1:4" x14ac:dyDescent="0.25">
      <c r="A41" s="12" t="s">
        <v>55</v>
      </c>
      <c r="B41" s="12" t="s">
        <v>48</v>
      </c>
      <c r="C41" s="54">
        <f>IF($A41="","",COUNTIFS(Zuteilungen!$D$2:$D$200,$A41,Zuteilungen!$F$2:$F$200,"x")+IF(Uebersicht!$B$5="JA",COUNTIFS(Zuteilungen!$D$2:$D$200,$A41,Zuteilungen!$F$2:$F$200,"OK"),0))</f>
        <v>2</v>
      </c>
      <c r="D41" s="55">
        <f>IF($A41="","",SUMIFS(Zuteilungen!$H$2:$H$200,Zuteilungen!$D$2:$D$200,$A41,Zuteilungen!$F$2:$F$200,"x")+IF(Uebersicht!$B$5="JA",SUMIFS(Zuteilungen!$H$2:$H$200,Zuteilungen!$D$2:$D$200,$A41,Zuteilungen!$F$2:$F$200,"OK"),0))</f>
        <v>8</v>
      </c>
    </row>
    <row r="42" spans="1:4" x14ac:dyDescent="0.25">
      <c r="A42" s="15" t="s">
        <v>78</v>
      </c>
      <c r="B42" s="15" t="s">
        <v>48</v>
      </c>
      <c r="C42" s="52">
        <f>IF($A42="","",COUNTIFS(Zuteilungen!$D$2:$D$200,$A42,Zuteilungen!$F$2:$F$200,"x")+IF(Uebersicht!$B$5="JA",COUNTIFS(Zuteilungen!$D$2:$D$200,$A42,Zuteilungen!$F$2:$F$200,"OK"),0))</f>
        <v>2</v>
      </c>
      <c r="D42" s="53">
        <f>IF($A42="","",SUMIFS(Zuteilungen!$H$2:$H$200,Zuteilungen!$D$2:$D$200,$A42,Zuteilungen!$F$2:$F$200,"x")+IF(Uebersicht!$B$5="JA",SUMIFS(Zuteilungen!$H$2:$H$200,Zuteilungen!$D$2:$D$200,$A42,Zuteilungen!$F$2:$F$200,"OK"),0))</f>
        <v>8</v>
      </c>
    </row>
    <row r="43" spans="1:4" x14ac:dyDescent="0.25">
      <c r="A43" s="12" t="s">
        <v>84</v>
      </c>
      <c r="B43" s="12" t="s">
        <v>48</v>
      </c>
      <c r="C43" s="54">
        <f>IF($A43="","",COUNTIFS(Zuteilungen!$D$2:$D$200,$A43,Zuteilungen!$F$2:$F$200,"x")+IF(Uebersicht!$B$5="JA",COUNTIFS(Zuteilungen!$D$2:$D$200,$A43,Zuteilungen!$F$2:$F$200,"OK"),0))</f>
        <v>2</v>
      </c>
      <c r="D43" s="55">
        <f>IF($A43="","",SUMIFS(Zuteilungen!$H$2:$H$200,Zuteilungen!$D$2:$D$200,$A43,Zuteilungen!$F$2:$F$200,"x")+IF(Uebersicht!$B$5="JA",SUMIFS(Zuteilungen!$H$2:$H$200,Zuteilungen!$D$2:$D$200,$A43,Zuteilungen!$F$2:$F$200,"OK"),0))</f>
        <v>10</v>
      </c>
    </row>
    <row r="44" spans="1:4" x14ac:dyDescent="0.25">
      <c r="A44" s="15" t="s">
        <v>47</v>
      </c>
      <c r="B44" s="15" t="s">
        <v>48</v>
      </c>
      <c r="C44" s="52">
        <f>IF($A44="","",COUNTIFS(Zuteilungen!$D$2:$D$200,$A44,Zuteilungen!$F$2:$F$200,"x")+IF(Uebersicht!$B$5="JA",COUNTIFS(Zuteilungen!$D$2:$D$200,$A44,Zuteilungen!$F$2:$F$200,"OK"),0))</f>
        <v>4</v>
      </c>
      <c r="D44" s="53">
        <f>IF($A44="","",SUMIFS(Zuteilungen!$H$2:$H$200,Zuteilungen!$D$2:$D$200,$A44,Zuteilungen!$F$2:$F$200,"x")+IF(Uebersicht!$B$5="JA",SUMIFS(Zuteilungen!$H$2:$H$200,Zuteilungen!$D$2:$D$200,$A44,Zuteilungen!$F$2:$F$200,"OK"),0))</f>
        <v>18</v>
      </c>
    </row>
    <row r="45" spans="1:4" x14ac:dyDescent="0.25">
      <c r="A45" s="12" t="s">
        <v>104</v>
      </c>
      <c r="B45" s="12" t="s">
        <v>48</v>
      </c>
      <c r="C45" s="54">
        <f>IF($A45="","",COUNTIFS(Zuteilungen!$D$2:$D$200,$A45,Zuteilungen!$F$2:$F$200,"x")+IF(Uebersicht!$B$5="JA",COUNTIFS(Zuteilungen!$D$2:$D$200,$A45,Zuteilungen!$F$2:$F$200,"OK"),0))</f>
        <v>2</v>
      </c>
      <c r="D45" s="55">
        <f>IF($A45="","",SUMIFS(Zuteilungen!$H$2:$H$200,Zuteilungen!$D$2:$D$200,$A45,Zuteilungen!$F$2:$F$200,"x")+IF(Uebersicht!$B$5="JA",SUMIFS(Zuteilungen!$H$2:$H$200,Zuteilungen!$D$2:$D$200,$A45,Zuteilungen!$F$2:$F$200,"OK"),0))</f>
        <v>8</v>
      </c>
    </row>
    <row r="46" spans="1:4" x14ac:dyDescent="0.25">
      <c r="A46" s="15" t="s">
        <v>73</v>
      </c>
      <c r="B46" s="15" t="s">
        <v>48</v>
      </c>
      <c r="C46" s="52">
        <f>IF($A46="","",COUNTIFS(Zuteilungen!$D$2:$D$200,$A46,Zuteilungen!$F$2:$F$200,"x")+IF(Uebersicht!$B$5="JA",COUNTIFS(Zuteilungen!$D$2:$D$200,$A46,Zuteilungen!$F$2:$F$200,"OK"),0))</f>
        <v>2</v>
      </c>
      <c r="D46" s="53">
        <f>IF($A46="","",SUMIFS(Zuteilungen!$H$2:$H$200,Zuteilungen!$D$2:$D$200,$A46,Zuteilungen!$F$2:$F$200,"x")+IF(Uebersicht!$B$5="JA",SUMIFS(Zuteilungen!$H$2:$H$200,Zuteilungen!$D$2:$D$200,$A46,Zuteilungen!$F$2:$F$200,"OK"),0))</f>
        <v>8</v>
      </c>
    </row>
    <row r="47" spans="1:4" x14ac:dyDescent="0.25">
      <c r="A47" s="44"/>
      <c r="B47" s="44"/>
      <c r="C47" s="54" t="str">
        <f>IF($A47="","",COUNTIFS(Zuteilungen!$D$2:$D$200,$A47,Zuteilungen!$F$2:$F$200,"x")+IF(Uebersicht!$B$5="JA",COUNTIFS(Zuteilungen!$D$2:$D$200,$A47,Zuteilungen!$F$2:$F$200,"OK"),0))</f>
        <v/>
      </c>
      <c r="D47" s="55" t="str">
        <f>IF($A47="","",SUMIFS(Zuteilungen!$H$2:$H$200,Zuteilungen!$D$2:$D$200,$A47,Zuteilungen!$F$2:$F$200,"x")+IF(Uebersicht!$B$5="JA",SUMIFS(Zuteilungen!$H$2:$H$200,Zuteilungen!$D$2:$D$200,$A47,Zuteilungen!$F$2:$F$200,"OK"),0))</f>
        <v/>
      </c>
    </row>
    <row r="48" spans="1:4" x14ac:dyDescent="0.25">
      <c r="A48" s="44"/>
      <c r="B48" s="44"/>
      <c r="C48" s="54" t="str">
        <f>IF($A48="","",COUNTIFS(Zuteilungen!$D$2:$D$200,$A48,Zuteilungen!$F$2:$F$200,"x")+IF(Uebersicht!$B$5="JA",COUNTIFS(Zuteilungen!$D$2:$D$200,$A48,Zuteilungen!$F$2:$F$200,"OK"),0))</f>
        <v/>
      </c>
      <c r="D48" s="55" t="str">
        <f>IF($A48="","",SUMIFS(Zuteilungen!$H$2:$H$200,Zuteilungen!$D$2:$D$200,$A48,Zuteilungen!$F$2:$F$200,"x")+IF(Uebersicht!$B$5="JA",SUMIFS(Zuteilungen!$H$2:$H$200,Zuteilungen!$D$2:$D$200,$A48,Zuteilungen!$F$2:$F$200,"OK"),0))</f>
        <v/>
      </c>
    </row>
    <row r="49" spans="1:4" x14ac:dyDescent="0.25">
      <c r="A49" s="44"/>
      <c r="B49" s="44"/>
      <c r="C49" s="54" t="str">
        <f>IF($A49="","",COUNTIFS(Zuteilungen!$D$2:$D$200,$A49,Zuteilungen!$F$2:$F$200,"x")+IF(Uebersicht!$B$5="JA",COUNTIFS(Zuteilungen!$D$2:$D$200,$A49,Zuteilungen!$F$2:$F$200,"OK"),0))</f>
        <v/>
      </c>
      <c r="D49" s="55" t="str">
        <f>IF($A49="","",SUMIFS(Zuteilungen!$H$2:$H$200,Zuteilungen!$D$2:$D$200,$A49,Zuteilungen!$F$2:$F$200,"x")+IF(Uebersicht!$B$5="JA",SUMIFS(Zuteilungen!$H$2:$H$200,Zuteilungen!$D$2:$D$200,$A49,Zuteilungen!$F$2:$F$200,"OK"),0))</f>
        <v/>
      </c>
    </row>
    <row r="50" spans="1:4" x14ac:dyDescent="0.25">
      <c r="A50" s="44"/>
      <c r="B50" s="44"/>
      <c r="C50" s="54" t="str">
        <f>IF($A50="","",COUNTIFS(Zuteilungen!$D$2:$D$200,$A50,Zuteilungen!$F$2:$F$200,"x")+IF(Uebersicht!$B$5="JA",COUNTIFS(Zuteilungen!$D$2:$D$200,$A50,Zuteilungen!$F$2:$F$200,"OK"),0))</f>
        <v/>
      </c>
      <c r="D50" s="55" t="str">
        <f>IF($A50="","",SUMIFS(Zuteilungen!$H$2:$H$200,Zuteilungen!$D$2:$D$200,$A50,Zuteilungen!$F$2:$F$200,"x")+IF(Uebersicht!$B$5="JA",SUMIFS(Zuteilungen!$H$2:$H$200,Zuteilungen!$D$2:$D$200,$A50,Zuteilungen!$F$2:$F$200,"OK"),0))</f>
        <v/>
      </c>
    </row>
    <row r="51" spans="1:4" x14ac:dyDescent="0.25">
      <c r="A51" s="44"/>
      <c r="B51" s="44"/>
      <c r="C51" s="54" t="str">
        <f>IF($A51="","",COUNTIFS(Zuteilungen!$D$2:$D$200,$A51,Zuteilungen!$F$2:$F$200,"x")+IF(Uebersicht!$B$5="JA",COUNTIFS(Zuteilungen!$D$2:$D$200,$A51,Zuteilungen!$F$2:$F$200,"OK"),0))</f>
        <v/>
      </c>
      <c r="D51" s="55" t="str">
        <f>IF($A51="","",SUMIFS(Zuteilungen!$H$2:$H$200,Zuteilungen!$D$2:$D$200,$A51,Zuteilungen!$F$2:$F$200,"x")+IF(Uebersicht!$B$5="JA",SUMIFS(Zuteilungen!$H$2:$H$200,Zuteilungen!$D$2:$D$200,$A51,Zuteilungen!$F$2:$F$200,"OK"),0))</f>
        <v/>
      </c>
    </row>
    <row r="52" spans="1:4" x14ac:dyDescent="0.25">
      <c r="A52" s="44"/>
      <c r="B52" s="44"/>
      <c r="C52" s="54" t="str">
        <f>IF($A52="","",COUNTIFS(Zuteilungen!$D$2:$D$200,$A52,Zuteilungen!$F$2:$F$200,"x")+IF(Uebersicht!$B$5="JA",COUNTIFS(Zuteilungen!$D$2:$D$200,$A52,Zuteilungen!$F$2:$F$200,"OK"),0))</f>
        <v/>
      </c>
      <c r="D52" s="55" t="str">
        <f>IF($A52="","",SUMIFS(Zuteilungen!$H$2:$H$200,Zuteilungen!$D$2:$D$200,$A52,Zuteilungen!$F$2:$F$200,"x")+IF(Uebersicht!$B$5="JA",SUMIFS(Zuteilungen!$H$2:$H$200,Zuteilungen!$D$2:$D$200,$A52,Zuteilungen!$F$2:$F$200,"OK"),0))</f>
        <v/>
      </c>
    </row>
    <row r="53" spans="1:4" x14ac:dyDescent="0.25">
      <c r="A53" s="44"/>
      <c r="B53" s="44"/>
      <c r="C53" s="54" t="str">
        <f>IF($A53="","",COUNTIFS(Zuteilungen!$D$2:$D$200,$A53,Zuteilungen!$F$2:$F$200,"x")+IF(Uebersicht!$B$5="JA",COUNTIFS(Zuteilungen!$D$2:$D$200,$A53,Zuteilungen!$F$2:$F$200,"OK"),0))</f>
        <v/>
      </c>
      <c r="D53" s="55" t="str">
        <f>IF($A53="","",SUMIFS(Zuteilungen!$H$2:$H$200,Zuteilungen!$D$2:$D$200,$A53,Zuteilungen!$F$2:$F$200,"x")+IF(Uebersicht!$B$5="JA",SUMIFS(Zuteilungen!$H$2:$H$200,Zuteilungen!$D$2:$D$200,$A53,Zuteilungen!$F$2:$F$200,"OK"),0))</f>
        <v/>
      </c>
    </row>
    <row r="54" spans="1:4" x14ac:dyDescent="0.25">
      <c r="A54" s="44"/>
      <c r="B54" s="44"/>
      <c r="C54" s="54" t="str">
        <f>IF($A54="","",COUNTIFS(Zuteilungen!$D$2:$D$200,$A54,Zuteilungen!$F$2:$F$200,"x")+IF(Uebersicht!$B$5="JA",COUNTIFS(Zuteilungen!$D$2:$D$200,$A54,Zuteilungen!$F$2:$F$200,"OK"),0))</f>
        <v/>
      </c>
      <c r="D54" s="55" t="str">
        <f>IF($A54="","",SUMIFS(Zuteilungen!$H$2:$H$200,Zuteilungen!$D$2:$D$200,$A54,Zuteilungen!$F$2:$F$200,"x")+IF(Uebersicht!$B$5="JA",SUMIFS(Zuteilungen!$H$2:$H$200,Zuteilungen!$D$2:$D$200,$A54,Zuteilungen!$F$2:$F$200,"OK"),0))</f>
        <v/>
      </c>
    </row>
    <row r="55" spans="1:4" x14ac:dyDescent="0.25">
      <c r="A55" s="44"/>
      <c r="B55" s="44"/>
      <c r="C55" s="54" t="str">
        <f>IF($A55="","",COUNTIFS(Zuteilungen!$D$2:$D$200,$A55,Zuteilungen!$F$2:$F$200,"x")+IF(Uebersicht!$B$5="JA",COUNTIFS(Zuteilungen!$D$2:$D$200,$A55,Zuteilungen!$F$2:$F$200,"OK"),0))</f>
        <v/>
      </c>
      <c r="D55" s="55" t="str">
        <f>IF($A55="","",SUMIFS(Zuteilungen!$H$2:$H$200,Zuteilungen!$D$2:$D$200,$A55,Zuteilungen!$F$2:$F$200,"x")+IF(Uebersicht!$B$5="JA",SUMIFS(Zuteilungen!$H$2:$H$200,Zuteilungen!$D$2:$D$200,$A55,Zuteilungen!$F$2:$F$200,"OK"),0))</f>
        <v/>
      </c>
    </row>
    <row r="56" spans="1:4" x14ac:dyDescent="0.25">
      <c r="A56" s="44"/>
      <c r="B56" s="44"/>
      <c r="C56" s="54" t="str">
        <f>IF($A56="","",COUNTIFS(Zuteilungen!$D$2:$D$200,$A56,Zuteilungen!$F$2:$F$200,"x")+IF(Uebersicht!$B$5="JA",COUNTIFS(Zuteilungen!$D$2:$D$200,$A56,Zuteilungen!$F$2:$F$200,"OK"),0))</f>
        <v/>
      </c>
      <c r="D56" s="55" t="str">
        <f>IF($A56="","",SUMIFS(Zuteilungen!$H$2:$H$200,Zuteilungen!$D$2:$D$200,$A56,Zuteilungen!$F$2:$F$200,"x")+IF(Uebersicht!$B$5="JA",SUMIFS(Zuteilungen!$H$2:$H$200,Zuteilungen!$D$2:$D$200,$A56,Zuteilungen!$F$2:$F$200,"OK"),0))</f>
        <v/>
      </c>
    </row>
    <row r="57" spans="1:4" x14ac:dyDescent="0.25">
      <c r="A57" s="44"/>
      <c r="B57" s="44"/>
      <c r="C57" s="54" t="str">
        <f>IF($A57="","",COUNTIFS(Zuteilungen!$D$2:$D$200,$A57,Zuteilungen!$F$2:$F$200,"x")+IF(Uebersicht!$B$5="JA",COUNTIFS(Zuteilungen!$D$2:$D$200,$A57,Zuteilungen!$F$2:$F$200,"OK"),0))</f>
        <v/>
      </c>
      <c r="D57" s="55" t="str">
        <f>IF($A57="","",SUMIFS(Zuteilungen!$H$2:$H$200,Zuteilungen!$D$2:$D$200,$A57,Zuteilungen!$F$2:$F$200,"x")+IF(Uebersicht!$B$5="JA",SUMIFS(Zuteilungen!$H$2:$H$200,Zuteilungen!$D$2:$D$200,$A57,Zuteilungen!$F$2:$F$200,"OK"),0))</f>
        <v/>
      </c>
    </row>
    <row r="58" spans="1:4" x14ac:dyDescent="0.25">
      <c r="A58" s="44"/>
      <c r="B58" s="44"/>
      <c r="C58" s="54" t="str">
        <f>IF($A58="","",COUNTIFS(Zuteilungen!$D$2:$D$200,$A58,Zuteilungen!$F$2:$F$200,"x")+IF(Uebersicht!$B$5="JA",COUNTIFS(Zuteilungen!$D$2:$D$200,$A58,Zuteilungen!$F$2:$F$200,"OK"),0))</f>
        <v/>
      </c>
      <c r="D58" s="55" t="str">
        <f>IF($A58="","",SUMIFS(Zuteilungen!$H$2:$H$200,Zuteilungen!$D$2:$D$200,$A58,Zuteilungen!$F$2:$F$200,"x")+IF(Uebersicht!$B$5="JA",SUMIFS(Zuteilungen!$H$2:$H$200,Zuteilungen!$D$2:$D$200,$A58,Zuteilungen!$F$2:$F$200,"OK"),0))</f>
        <v/>
      </c>
    </row>
    <row r="59" spans="1:4" x14ac:dyDescent="0.25">
      <c r="A59" s="44"/>
      <c r="B59" s="44"/>
      <c r="C59" s="54" t="str">
        <f>IF($A59="","",COUNTIFS(Zuteilungen!$D$2:$D$200,$A59,Zuteilungen!$F$2:$F$200,"x")+IF(Uebersicht!$B$5="JA",COUNTIFS(Zuteilungen!$D$2:$D$200,$A59,Zuteilungen!$F$2:$F$200,"OK"),0))</f>
        <v/>
      </c>
      <c r="D59" s="55" t="str">
        <f>IF($A59="","",SUMIFS(Zuteilungen!$H$2:$H$200,Zuteilungen!$D$2:$D$200,$A59,Zuteilungen!$F$2:$F$200,"x")+IF(Uebersicht!$B$5="JA",SUMIFS(Zuteilungen!$H$2:$H$200,Zuteilungen!$D$2:$D$200,$A59,Zuteilungen!$F$2:$F$200,"OK"),0))</f>
        <v/>
      </c>
    </row>
    <row r="60" spans="1:4" x14ac:dyDescent="0.25">
      <c r="A60" s="44"/>
      <c r="B60" s="44"/>
      <c r="C60" s="54" t="str">
        <f>IF($A60="","",COUNTIFS(Zuteilungen!$D$2:$D$200,$A60,Zuteilungen!$F$2:$F$200,"x")+IF(Uebersicht!$B$5="JA",COUNTIFS(Zuteilungen!$D$2:$D$200,$A60,Zuteilungen!$F$2:$F$200,"OK"),0))</f>
        <v/>
      </c>
      <c r="D60" s="55" t="str">
        <f>IF($A60="","",SUMIFS(Zuteilungen!$H$2:$H$200,Zuteilungen!$D$2:$D$200,$A60,Zuteilungen!$F$2:$F$200,"x")+IF(Uebersicht!$B$5="JA",SUMIFS(Zuteilungen!$H$2:$H$200,Zuteilungen!$D$2:$D$200,$A60,Zuteilungen!$F$2:$F$200,"OK"),0))</f>
        <v/>
      </c>
    </row>
    <row r="61" spans="1:4" x14ac:dyDescent="0.25">
      <c r="A61" s="44"/>
      <c r="B61" s="44"/>
      <c r="C61" s="54" t="str">
        <f>IF($A61="","",COUNTIFS(Zuteilungen!$D$2:$D$200,$A61,Zuteilungen!$F$2:$F$200,"x")+IF(Uebersicht!$B$5="JA",COUNTIFS(Zuteilungen!$D$2:$D$200,$A61,Zuteilungen!$F$2:$F$200,"OK"),0))</f>
        <v/>
      </c>
      <c r="D61" s="55" t="str">
        <f>IF($A61="","",SUMIFS(Zuteilungen!$H$2:$H$200,Zuteilungen!$D$2:$D$200,$A61,Zuteilungen!$F$2:$F$200,"x")+IF(Uebersicht!$B$5="JA",SUMIFS(Zuteilungen!$H$2:$H$200,Zuteilungen!$D$2:$D$200,$A61,Zuteilungen!$F$2:$F$200,"OK"),0))</f>
        <v/>
      </c>
    </row>
    <row r="62" spans="1:4" x14ac:dyDescent="0.25">
      <c r="A62" s="44"/>
      <c r="B62" s="44"/>
      <c r="C62" s="54" t="str">
        <f>IF($A62="","",COUNTIFS(Zuteilungen!$D$2:$D$200,$A62,Zuteilungen!$F$2:$F$200,"x")+IF(Uebersicht!$B$5="JA",COUNTIFS(Zuteilungen!$D$2:$D$200,$A62,Zuteilungen!$F$2:$F$200,"OK"),0))</f>
        <v/>
      </c>
      <c r="D62" s="55" t="str">
        <f>IF($A62="","",SUMIFS(Zuteilungen!$H$2:$H$200,Zuteilungen!$D$2:$D$200,$A62,Zuteilungen!$F$2:$F$200,"x")+IF(Uebersicht!$B$5="JA",SUMIFS(Zuteilungen!$H$2:$H$200,Zuteilungen!$D$2:$D$200,$A62,Zuteilungen!$F$2:$F$200,"OK"),0))</f>
        <v/>
      </c>
    </row>
    <row r="63" spans="1:4" x14ac:dyDescent="0.25">
      <c r="A63" s="44"/>
      <c r="B63" s="44"/>
      <c r="C63" s="54" t="str">
        <f>IF($A63="","",COUNTIFS(Zuteilungen!$D$2:$D$200,$A63,Zuteilungen!$F$2:$F$200,"x")+IF(Uebersicht!$B$5="JA",COUNTIFS(Zuteilungen!$D$2:$D$200,$A63,Zuteilungen!$F$2:$F$200,"OK"),0))</f>
        <v/>
      </c>
      <c r="D63" s="55" t="str">
        <f>IF($A63="","",SUMIFS(Zuteilungen!$H$2:$H$200,Zuteilungen!$D$2:$D$200,$A63,Zuteilungen!$F$2:$F$200,"x")+IF(Uebersicht!$B$5="JA",SUMIFS(Zuteilungen!$H$2:$H$200,Zuteilungen!$D$2:$D$200,$A63,Zuteilungen!$F$2:$F$200,"OK"),0))</f>
        <v/>
      </c>
    </row>
    <row r="64" spans="1:4" x14ac:dyDescent="0.25">
      <c r="A64" s="44"/>
      <c r="B64" s="44"/>
      <c r="C64" s="54" t="str">
        <f>IF($A64="","",COUNTIFS(Zuteilungen!$D$2:$D$200,$A64,Zuteilungen!$F$2:$F$200,"x")+IF(Uebersicht!$B$5="JA",COUNTIFS(Zuteilungen!$D$2:$D$200,$A64,Zuteilungen!$F$2:$F$200,"OK"),0))</f>
        <v/>
      </c>
      <c r="D64" s="55" t="str">
        <f>IF($A64="","",SUMIFS(Zuteilungen!$H$2:$H$200,Zuteilungen!$D$2:$D$200,$A64,Zuteilungen!$F$2:$F$200,"x")+IF(Uebersicht!$B$5="JA",SUMIFS(Zuteilungen!$H$2:$H$200,Zuteilungen!$D$2:$D$200,$A64,Zuteilungen!$F$2:$F$200,"OK"),0))</f>
        <v/>
      </c>
    </row>
    <row r="65" spans="1:4" x14ac:dyDescent="0.25">
      <c r="A65" s="44"/>
      <c r="B65" s="44"/>
      <c r="C65" s="54" t="str">
        <f>IF($A65="","",COUNTIFS(Zuteilungen!$D$2:$D$200,$A65,Zuteilungen!$F$2:$F$200,"x")+IF(Uebersicht!$B$5="JA",COUNTIFS(Zuteilungen!$D$2:$D$200,$A65,Zuteilungen!$F$2:$F$200,"OK"),0))</f>
        <v/>
      </c>
      <c r="D65" s="55" t="str">
        <f>IF($A65="","",SUMIFS(Zuteilungen!$H$2:$H$200,Zuteilungen!$D$2:$D$200,$A65,Zuteilungen!$F$2:$F$200,"x")+IF(Uebersicht!$B$5="JA",SUMIFS(Zuteilungen!$H$2:$H$200,Zuteilungen!$D$2:$D$200,$A65,Zuteilungen!$F$2:$F$200,"OK"),0))</f>
        <v/>
      </c>
    </row>
    <row r="66" spans="1:4" x14ac:dyDescent="0.25">
      <c r="A66" s="44"/>
      <c r="B66" s="44"/>
      <c r="C66" s="54" t="str">
        <f>IF($A66="","",COUNTIFS(Zuteilungen!$D$2:$D$200,$A66,Zuteilungen!$F$2:$F$200,"x")+IF(Uebersicht!$B$5="JA",COUNTIFS(Zuteilungen!$D$2:$D$200,$A66,Zuteilungen!$F$2:$F$200,"OK"),0))</f>
        <v/>
      </c>
      <c r="D66" s="55" t="str">
        <f>IF($A66="","",SUMIFS(Zuteilungen!$H$2:$H$200,Zuteilungen!$D$2:$D$200,$A66,Zuteilungen!$F$2:$F$200,"x")+IF(Uebersicht!$B$5="JA",SUMIFS(Zuteilungen!$H$2:$H$200,Zuteilungen!$D$2:$D$200,$A66,Zuteilungen!$F$2:$F$200,"OK"),0))</f>
        <v/>
      </c>
    </row>
    <row r="67" spans="1:4" x14ac:dyDescent="0.25">
      <c r="A67" s="44"/>
      <c r="B67" s="44"/>
      <c r="C67" s="54" t="str">
        <f>IF($A67="","",COUNTIFS(Zuteilungen!$D$2:$D$200,$A67,Zuteilungen!$F$2:$F$200,"x")+IF(Uebersicht!$B$5="JA",COUNTIFS(Zuteilungen!$D$2:$D$200,$A67,Zuteilungen!$F$2:$F$200,"OK"),0))</f>
        <v/>
      </c>
      <c r="D67" s="55" t="str">
        <f>IF($A67="","",SUMIFS(Zuteilungen!$H$2:$H$200,Zuteilungen!$D$2:$D$200,$A67,Zuteilungen!$F$2:$F$200,"x")+IF(Uebersicht!$B$5="JA",SUMIFS(Zuteilungen!$H$2:$H$200,Zuteilungen!$D$2:$D$200,$A67,Zuteilungen!$F$2:$F$200,"OK"),0))</f>
        <v/>
      </c>
    </row>
    <row r="68" spans="1:4" x14ac:dyDescent="0.25">
      <c r="A68" s="44"/>
      <c r="B68" s="44"/>
      <c r="C68" s="54" t="str">
        <f>IF($A68="","",COUNTIFS(Zuteilungen!$D$2:$D$200,$A68,Zuteilungen!$F$2:$F$200,"x")+IF(Uebersicht!$B$5="JA",COUNTIFS(Zuteilungen!$D$2:$D$200,$A68,Zuteilungen!$F$2:$F$200,"OK"),0))</f>
        <v/>
      </c>
      <c r="D68" s="55" t="str">
        <f>IF($A68="","",SUMIFS(Zuteilungen!$H$2:$H$200,Zuteilungen!$D$2:$D$200,$A68,Zuteilungen!$F$2:$F$200,"x")+IF(Uebersicht!$B$5="JA",SUMIFS(Zuteilungen!$H$2:$H$200,Zuteilungen!$D$2:$D$200,$A68,Zuteilungen!$F$2:$F$200,"OK"),0))</f>
        <v/>
      </c>
    </row>
    <row r="69" spans="1:4" x14ac:dyDescent="0.25">
      <c r="A69" s="44"/>
      <c r="B69" s="44"/>
      <c r="C69" s="54" t="str">
        <f>IF($A69="","",COUNTIFS(Zuteilungen!$D$2:$D$200,$A69,Zuteilungen!$F$2:$F$200,"x")+IF(Uebersicht!$B$5="JA",COUNTIFS(Zuteilungen!$D$2:$D$200,$A69,Zuteilungen!$F$2:$F$200,"OK"),0))</f>
        <v/>
      </c>
      <c r="D69" s="55" t="str">
        <f>IF($A69="","",SUMIFS(Zuteilungen!$H$2:$H$200,Zuteilungen!$D$2:$D$200,$A69,Zuteilungen!$F$2:$F$200,"x")+IF(Uebersicht!$B$5="JA",SUMIFS(Zuteilungen!$H$2:$H$200,Zuteilungen!$D$2:$D$200,$A69,Zuteilungen!$F$2:$F$200,"OK"),0))</f>
        <v/>
      </c>
    </row>
    <row r="70" spans="1:4" x14ac:dyDescent="0.25">
      <c r="A70" s="44"/>
      <c r="B70" s="44"/>
      <c r="C70" s="54" t="str">
        <f>IF($A70="","",COUNTIFS(Zuteilungen!$D$2:$D$200,$A70,Zuteilungen!$F$2:$F$200,"x")+IF(Uebersicht!$B$5="JA",COUNTIFS(Zuteilungen!$D$2:$D$200,$A70,Zuteilungen!$F$2:$F$200,"OK"),0))</f>
        <v/>
      </c>
      <c r="D70" s="55" t="str">
        <f>IF($A70="","",SUMIFS(Zuteilungen!$H$2:$H$200,Zuteilungen!$D$2:$D$200,$A70,Zuteilungen!$F$2:$F$200,"x")+IF(Uebersicht!$B$5="JA",SUMIFS(Zuteilungen!$H$2:$H$200,Zuteilungen!$D$2:$D$200,$A70,Zuteilungen!$F$2:$F$200,"OK"),0))</f>
        <v/>
      </c>
    </row>
    <row r="71" spans="1:4" x14ac:dyDescent="0.25">
      <c r="A71" s="44"/>
      <c r="B71" s="44"/>
      <c r="C71" s="54" t="str">
        <f>IF($A71="","",COUNTIFS(Zuteilungen!$D$2:$D$200,$A71,Zuteilungen!$F$2:$F$200,"x")+IF(Uebersicht!$B$5="JA",COUNTIFS(Zuteilungen!$D$2:$D$200,$A71,Zuteilungen!$F$2:$F$200,"OK"),0))</f>
        <v/>
      </c>
      <c r="D71" s="55" t="str">
        <f>IF($A71="","",SUMIFS(Zuteilungen!$H$2:$H$200,Zuteilungen!$D$2:$D$200,$A71,Zuteilungen!$F$2:$F$200,"x")+IF(Uebersicht!$B$5="JA",SUMIFS(Zuteilungen!$H$2:$H$200,Zuteilungen!$D$2:$D$200,$A71,Zuteilungen!$F$2:$F$200,"OK"),0))</f>
        <v/>
      </c>
    </row>
  </sheetData>
  <autoFilter ref="A1:D71" xr:uid="{00000000-0009-0000-0000-000003000000}"/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72"/>
  <sheetViews>
    <sheetView showGridLines="0" zoomScaleNormal="100" workbookViewId="0">
      <pane ySplit="4" topLeftCell="A5" activePane="bottomLeft" state="frozen"/>
      <selection pane="bottomLeft" activeCell="L17" sqref="L17"/>
    </sheetView>
  </sheetViews>
  <sheetFormatPr baseColWidth="10" defaultColWidth="8.7109375" defaultRowHeight="15" x14ac:dyDescent="0.25"/>
  <cols>
    <col min="1" max="1" width="40" customWidth="1"/>
    <col min="2" max="2" width="24" customWidth="1"/>
    <col min="3" max="3" width="20" customWidth="1"/>
    <col min="4" max="4" width="11" customWidth="1"/>
    <col min="5" max="5" width="9" customWidth="1"/>
    <col min="6" max="6" width="34" customWidth="1"/>
  </cols>
  <sheetData>
    <row r="1" spans="1:6" ht="20.25" x14ac:dyDescent="0.3">
      <c r="A1" s="46" t="s">
        <v>14</v>
      </c>
    </row>
    <row r="2" spans="1:6" x14ac:dyDescent="0.25">
      <c r="A2" s="7" t="s">
        <v>140</v>
      </c>
    </row>
    <row r="4" spans="1:6" ht="27.75" customHeight="1" x14ac:dyDescent="0.25">
      <c r="A4" s="11" t="s">
        <v>141</v>
      </c>
      <c r="B4" s="11" t="s">
        <v>38</v>
      </c>
      <c r="C4" s="11" t="s">
        <v>39</v>
      </c>
      <c r="D4" s="11" t="s">
        <v>42</v>
      </c>
      <c r="E4" s="11" t="s">
        <v>40</v>
      </c>
      <c r="F4" s="11" t="s">
        <v>142</v>
      </c>
    </row>
    <row r="5" spans="1:6" x14ac:dyDescent="0.25">
      <c r="A5" s="44" t="s">
        <v>143</v>
      </c>
      <c r="B5" s="44" t="s">
        <v>74</v>
      </c>
      <c r="C5" s="44" t="s">
        <v>54</v>
      </c>
      <c r="D5" s="56">
        <v>0</v>
      </c>
      <c r="E5" s="43" t="s">
        <v>49</v>
      </c>
      <c r="F5" s="49" t="s">
        <v>144</v>
      </c>
    </row>
    <row r="6" spans="1:6" x14ac:dyDescent="0.25">
      <c r="A6" s="44" t="s">
        <v>145</v>
      </c>
      <c r="B6" s="44" t="s">
        <v>76</v>
      </c>
      <c r="C6" s="44" t="s">
        <v>48</v>
      </c>
      <c r="D6" s="56">
        <v>0</v>
      </c>
      <c r="E6" s="43" t="s">
        <v>49</v>
      </c>
      <c r="F6" s="49" t="s">
        <v>146</v>
      </c>
    </row>
    <row r="7" spans="1:6" x14ac:dyDescent="0.25">
      <c r="A7" s="44" t="s">
        <v>145</v>
      </c>
      <c r="B7" s="44" t="s">
        <v>61</v>
      </c>
      <c r="C7" s="44" t="s">
        <v>48</v>
      </c>
      <c r="D7" s="56">
        <v>10</v>
      </c>
      <c r="E7" s="43" t="s">
        <v>49</v>
      </c>
      <c r="F7" s="49" t="s">
        <v>147</v>
      </c>
    </row>
    <row r="8" spans="1:6" x14ac:dyDescent="0.25">
      <c r="A8" s="44" t="s">
        <v>148</v>
      </c>
      <c r="B8" s="44" t="s">
        <v>73</v>
      </c>
      <c r="C8" s="44" t="s">
        <v>48</v>
      </c>
      <c r="D8" s="56">
        <v>1</v>
      </c>
      <c r="E8" s="43" t="s">
        <v>49</v>
      </c>
      <c r="F8" s="49" t="s">
        <v>149</v>
      </c>
    </row>
    <row r="9" spans="1:6" x14ac:dyDescent="0.25">
      <c r="A9" s="44" t="s">
        <v>150</v>
      </c>
      <c r="B9" s="44" t="s">
        <v>80</v>
      </c>
      <c r="C9" s="44" t="s">
        <v>63</v>
      </c>
      <c r="D9" s="56">
        <v>0</v>
      </c>
      <c r="E9" s="43" t="s">
        <v>49</v>
      </c>
      <c r="F9" s="49" t="s">
        <v>151</v>
      </c>
    </row>
    <row r="10" spans="1:6" x14ac:dyDescent="0.25">
      <c r="A10" s="44" t="s">
        <v>150</v>
      </c>
      <c r="B10" s="44" t="s">
        <v>194</v>
      </c>
      <c r="C10" s="44" t="s">
        <v>63</v>
      </c>
      <c r="D10" s="56">
        <v>1</v>
      </c>
      <c r="E10" s="43" t="s">
        <v>49</v>
      </c>
      <c r="F10" s="49" t="s">
        <v>152</v>
      </c>
    </row>
    <row r="11" spans="1:6" x14ac:dyDescent="0.25">
      <c r="A11" s="44" t="s">
        <v>150</v>
      </c>
      <c r="B11" s="44"/>
      <c r="C11" s="44"/>
      <c r="D11" s="56"/>
      <c r="E11" s="43" t="s">
        <v>49</v>
      </c>
      <c r="F11" s="49" t="s">
        <v>144</v>
      </c>
    </row>
    <row r="12" spans="1:6" x14ac:dyDescent="0.25">
      <c r="A12" s="44" t="s">
        <v>153</v>
      </c>
      <c r="B12" s="44" t="s">
        <v>95</v>
      </c>
      <c r="C12" s="44" t="s">
        <v>54</v>
      </c>
      <c r="D12" s="56">
        <v>4</v>
      </c>
      <c r="E12" s="43" t="s">
        <v>49</v>
      </c>
      <c r="F12" s="49" t="s">
        <v>154</v>
      </c>
    </row>
    <row r="13" spans="1:6" x14ac:dyDescent="0.25">
      <c r="A13" s="44" t="s">
        <v>153</v>
      </c>
      <c r="B13" s="44" t="s">
        <v>96</v>
      </c>
      <c r="C13" s="44" t="s">
        <v>54</v>
      </c>
      <c r="D13" s="56">
        <v>4</v>
      </c>
      <c r="E13" s="43" t="s">
        <v>49</v>
      </c>
      <c r="F13" s="49" t="s">
        <v>155</v>
      </c>
    </row>
    <row r="14" spans="1:6" x14ac:dyDescent="0.25">
      <c r="A14" s="44" t="s">
        <v>156</v>
      </c>
      <c r="B14" s="44" t="s">
        <v>195</v>
      </c>
      <c r="C14" s="44" t="s">
        <v>54</v>
      </c>
      <c r="D14" s="56">
        <v>0</v>
      </c>
      <c r="E14" s="43" t="s">
        <v>49</v>
      </c>
      <c r="F14" s="49" t="s">
        <v>157</v>
      </c>
    </row>
    <row r="15" spans="1:6" x14ac:dyDescent="0.25">
      <c r="A15" s="44" t="s">
        <v>156</v>
      </c>
      <c r="B15" s="44" t="s">
        <v>196</v>
      </c>
      <c r="C15" s="44" t="s">
        <v>63</v>
      </c>
      <c r="D15" s="56">
        <v>0</v>
      </c>
      <c r="E15" s="43" t="s">
        <v>49</v>
      </c>
      <c r="F15" s="49" t="s">
        <v>158</v>
      </c>
    </row>
    <row r="16" spans="1:6" x14ac:dyDescent="0.25">
      <c r="A16" s="44" t="s">
        <v>156</v>
      </c>
      <c r="B16" s="44" t="s">
        <v>194</v>
      </c>
      <c r="C16" s="44" t="s">
        <v>63</v>
      </c>
      <c r="D16" s="56">
        <v>2</v>
      </c>
      <c r="E16" s="43" t="s">
        <v>49</v>
      </c>
      <c r="F16" s="49" t="s">
        <v>151</v>
      </c>
    </row>
    <row r="17" spans="1:6" x14ac:dyDescent="0.25">
      <c r="A17" s="44" t="s">
        <v>159</v>
      </c>
      <c r="B17" s="44" t="s">
        <v>74</v>
      </c>
      <c r="C17" s="44" t="s">
        <v>54</v>
      </c>
      <c r="D17" s="56">
        <v>0</v>
      </c>
      <c r="E17" s="43" t="s">
        <v>49</v>
      </c>
      <c r="F17" s="49" t="s">
        <v>144</v>
      </c>
    </row>
    <row r="18" spans="1:6" x14ac:dyDescent="0.25">
      <c r="A18" s="44" t="s">
        <v>160</v>
      </c>
      <c r="B18" s="44" t="s">
        <v>80</v>
      </c>
      <c r="C18" s="44" t="s">
        <v>63</v>
      </c>
      <c r="D18" s="56">
        <v>0</v>
      </c>
      <c r="E18" s="43" t="s">
        <v>49</v>
      </c>
      <c r="F18" s="49" t="s">
        <v>151</v>
      </c>
    </row>
    <row r="19" spans="1:6" x14ac:dyDescent="0.25">
      <c r="A19" s="44" t="s">
        <v>160</v>
      </c>
      <c r="B19" s="44" t="s">
        <v>194</v>
      </c>
      <c r="C19" s="44" t="s">
        <v>48</v>
      </c>
      <c r="D19" s="56">
        <v>1</v>
      </c>
      <c r="E19" s="43" t="s">
        <v>49</v>
      </c>
      <c r="F19" s="49" t="s">
        <v>149</v>
      </c>
    </row>
    <row r="20" spans="1:6" x14ac:dyDescent="0.25">
      <c r="A20" s="44" t="s">
        <v>161</v>
      </c>
      <c r="B20" s="44" t="s">
        <v>80</v>
      </c>
      <c r="C20" s="44" t="s">
        <v>63</v>
      </c>
      <c r="D20" s="56">
        <v>50</v>
      </c>
      <c r="E20" s="43" t="s">
        <v>49</v>
      </c>
      <c r="F20" s="49" t="s">
        <v>151</v>
      </c>
    </row>
    <row r="21" spans="1:6" x14ac:dyDescent="0.25">
      <c r="A21" s="44" t="s">
        <v>162</v>
      </c>
      <c r="B21" s="44" t="s">
        <v>74</v>
      </c>
      <c r="C21" s="44" t="s">
        <v>54</v>
      </c>
      <c r="D21" s="56">
        <v>50</v>
      </c>
      <c r="E21" s="43" t="s">
        <v>49</v>
      </c>
      <c r="F21" s="49" t="s">
        <v>144</v>
      </c>
    </row>
    <row r="22" spans="1:6" x14ac:dyDescent="0.25">
      <c r="A22" s="44" t="s">
        <v>163</v>
      </c>
      <c r="B22" s="44" t="s">
        <v>66</v>
      </c>
      <c r="C22" s="44" t="s">
        <v>54</v>
      </c>
      <c r="D22" s="56">
        <v>50</v>
      </c>
      <c r="E22" s="43" t="s">
        <v>49</v>
      </c>
      <c r="F22" s="49" t="s">
        <v>164</v>
      </c>
    </row>
    <row r="23" spans="1:6" x14ac:dyDescent="0.25">
      <c r="A23" s="44" t="s">
        <v>165</v>
      </c>
      <c r="B23" s="44" t="s">
        <v>82</v>
      </c>
      <c r="C23" s="44" t="s">
        <v>63</v>
      </c>
      <c r="D23" s="56">
        <v>50</v>
      </c>
      <c r="E23" s="43" t="s">
        <v>49</v>
      </c>
      <c r="F23" s="49" t="s">
        <v>166</v>
      </c>
    </row>
    <row r="24" spans="1:6" x14ac:dyDescent="0.25">
      <c r="A24" s="44" t="s">
        <v>167</v>
      </c>
      <c r="B24" s="44" t="s">
        <v>76</v>
      </c>
      <c r="C24" s="44" t="s">
        <v>48</v>
      </c>
      <c r="D24" s="56">
        <v>50</v>
      </c>
      <c r="E24" s="43" t="s">
        <v>49</v>
      </c>
      <c r="F24" s="49" t="s">
        <v>146</v>
      </c>
    </row>
    <row r="25" spans="1:6" x14ac:dyDescent="0.25">
      <c r="A25" s="44"/>
      <c r="B25" s="44"/>
      <c r="C25" s="44"/>
      <c r="D25" s="56"/>
      <c r="E25" s="43"/>
      <c r="F25" s="44"/>
    </row>
    <row r="26" spans="1:6" x14ac:dyDescent="0.25">
      <c r="A26" s="44"/>
      <c r="B26" s="44"/>
      <c r="C26" s="44"/>
      <c r="D26" s="56"/>
      <c r="E26" s="43"/>
      <c r="F26" s="44"/>
    </row>
    <row r="27" spans="1:6" x14ac:dyDescent="0.25">
      <c r="A27" s="44"/>
      <c r="B27" s="44"/>
      <c r="C27" s="44"/>
      <c r="D27" s="56"/>
      <c r="E27" s="43"/>
      <c r="F27" s="44"/>
    </row>
    <row r="28" spans="1:6" x14ac:dyDescent="0.25">
      <c r="A28" s="44"/>
      <c r="B28" s="44"/>
      <c r="C28" s="44"/>
      <c r="D28" s="56"/>
      <c r="E28" s="43"/>
      <c r="F28" s="44"/>
    </row>
    <row r="29" spans="1:6" x14ac:dyDescent="0.25">
      <c r="A29" s="44"/>
      <c r="B29" s="44"/>
      <c r="C29" s="44"/>
      <c r="D29" s="56"/>
      <c r="E29" s="43"/>
      <c r="F29" s="44"/>
    </row>
    <row r="30" spans="1:6" x14ac:dyDescent="0.25">
      <c r="A30" s="44"/>
      <c r="B30" s="44"/>
      <c r="C30" s="44"/>
      <c r="D30" s="56"/>
      <c r="E30" s="43"/>
      <c r="F30" s="44"/>
    </row>
    <row r="31" spans="1:6" x14ac:dyDescent="0.25">
      <c r="A31" s="44"/>
      <c r="B31" s="44"/>
      <c r="C31" s="44"/>
      <c r="D31" s="56"/>
      <c r="E31" s="43"/>
      <c r="F31" s="44"/>
    </row>
    <row r="32" spans="1:6" x14ac:dyDescent="0.25">
      <c r="A32" s="44"/>
      <c r="B32" s="44"/>
      <c r="C32" s="44"/>
      <c r="D32" s="56"/>
      <c r="E32" s="43"/>
      <c r="F32" s="44"/>
    </row>
    <row r="33" spans="1:6" x14ac:dyDescent="0.25">
      <c r="A33" s="44"/>
      <c r="B33" s="44"/>
      <c r="C33" s="44"/>
      <c r="D33" s="56"/>
      <c r="E33" s="43"/>
      <c r="F33" s="44"/>
    </row>
    <row r="34" spans="1:6" x14ac:dyDescent="0.25">
      <c r="A34" s="44"/>
      <c r="B34" s="44"/>
      <c r="C34" s="44"/>
      <c r="D34" s="56"/>
      <c r="E34" s="43"/>
      <c r="F34" s="44"/>
    </row>
    <row r="35" spans="1:6" x14ac:dyDescent="0.25">
      <c r="A35" s="44"/>
      <c r="B35" s="44"/>
      <c r="C35" s="44"/>
      <c r="D35" s="56"/>
      <c r="E35" s="43"/>
      <c r="F35" s="44"/>
    </row>
    <row r="36" spans="1:6" x14ac:dyDescent="0.25">
      <c r="A36" s="44"/>
      <c r="B36" s="44"/>
      <c r="C36" s="44"/>
      <c r="D36" s="56"/>
      <c r="E36" s="43"/>
      <c r="F36" s="44"/>
    </row>
    <row r="37" spans="1:6" x14ac:dyDescent="0.25">
      <c r="A37" s="44"/>
      <c r="B37" s="44"/>
      <c r="C37" s="44"/>
      <c r="D37" s="56"/>
      <c r="E37" s="43"/>
      <c r="F37" s="44"/>
    </row>
    <row r="38" spans="1:6" x14ac:dyDescent="0.25">
      <c r="A38" s="44"/>
      <c r="B38" s="44"/>
      <c r="C38" s="44"/>
      <c r="D38" s="56"/>
      <c r="E38" s="43"/>
      <c r="F38" s="44"/>
    </row>
    <row r="39" spans="1:6" x14ac:dyDescent="0.25">
      <c r="A39" s="44"/>
      <c r="B39" s="44"/>
      <c r="C39" s="44"/>
      <c r="D39" s="56"/>
      <c r="E39" s="43"/>
      <c r="F39" s="44"/>
    </row>
    <row r="40" spans="1:6" x14ac:dyDescent="0.25">
      <c r="A40" s="44"/>
      <c r="B40" s="44"/>
      <c r="C40" s="44"/>
      <c r="D40" s="56"/>
      <c r="E40" s="43"/>
      <c r="F40" s="44"/>
    </row>
    <row r="41" spans="1:6" x14ac:dyDescent="0.25">
      <c r="A41" s="44"/>
      <c r="B41" s="44"/>
      <c r="C41" s="44"/>
      <c r="D41" s="56"/>
      <c r="E41" s="43"/>
      <c r="F41" s="44"/>
    </row>
    <row r="42" spans="1:6" x14ac:dyDescent="0.25">
      <c r="A42" s="44"/>
      <c r="B42" s="44"/>
      <c r="C42" s="44"/>
      <c r="D42" s="56"/>
      <c r="E42" s="43"/>
      <c r="F42" s="44"/>
    </row>
    <row r="43" spans="1:6" x14ac:dyDescent="0.25">
      <c r="A43" s="44"/>
      <c r="B43" s="44"/>
      <c r="C43" s="44"/>
      <c r="D43" s="56"/>
      <c r="E43" s="43"/>
      <c r="F43" s="44"/>
    </row>
    <row r="44" spans="1:6" x14ac:dyDescent="0.25">
      <c r="A44" s="44"/>
      <c r="B44" s="44"/>
      <c r="C44" s="44"/>
      <c r="D44" s="56"/>
      <c r="E44" s="43"/>
      <c r="F44" s="44"/>
    </row>
    <row r="45" spans="1:6" x14ac:dyDescent="0.25">
      <c r="A45" s="44"/>
      <c r="B45" s="44"/>
      <c r="C45" s="44"/>
      <c r="D45" s="56"/>
      <c r="E45" s="43"/>
      <c r="F45" s="44"/>
    </row>
    <row r="46" spans="1:6" x14ac:dyDescent="0.25">
      <c r="A46" s="44"/>
      <c r="B46" s="44"/>
      <c r="C46" s="44"/>
      <c r="D46" s="56"/>
      <c r="E46" s="43"/>
      <c r="F46" s="44"/>
    </row>
    <row r="47" spans="1:6" x14ac:dyDescent="0.25">
      <c r="A47" s="44"/>
      <c r="B47" s="44"/>
      <c r="C47" s="44"/>
      <c r="D47" s="56"/>
      <c r="E47" s="43"/>
      <c r="F47" s="44"/>
    </row>
    <row r="48" spans="1:6" x14ac:dyDescent="0.25">
      <c r="A48" s="44"/>
      <c r="B48" s="44"/>
      <c r="C48" s="44"/>
      <c r="D48" s="56"/>
      <c r="E48" s="43"/>
      <c r="F48" s="44"/>
    </row>
    <row r="49" spans="1:6" x14ac:dyDescent="0.25">
      <c r="A49" s="44"/>
      <c r="B49" s="44"/>
      <c r="C49" s="44"/>
      <c r="D49" s="56"/>
      <c r="E49" s="43"/>
      <c r="F49" s="44"/>
    </row>
    <row r="50" spans="1:6" x14ac:dyDescent="0.25">
      <c r="A50" s="44"/>
      <c r="B50" s="44"/>
      <c r="C50" s="44"/>
      <c r="D50" s="56"/>
      <c r="E50" s="43"/>
      <c r="F50" s="44"/>
    </row>
    <row r="51" spans="1:6" x14ac:dyDescent="0.25">
      <c r="A51" s="44"/>
      <c r="B51" s="44"/>
      <c r="C51" s="44"/>
      <c r="D51" s="56"/>
      <c r="E51" s="43"/>
      <c r="F51" s="44"/>
    </row>
    <row r="52" spans="1:6" x14ac:dyDescent="0.25">
      <c r="A52" s="44"/>
      <c r="B52" s="44"/>
      <c r="C52" s="44"/>
      <c r="D52" s="56"/>
      <c r="E52" s="43"/>
      <c r="F52" s="44"/>
    </row>
    <row r="53" spans="1:6" x14ac:dyDescent="0.25">
      <c r="A53" s="44"/>
      <c r="B53" s="44"/>
      <c r="C53" s="44"/>
      <c r="D53" s="56"/>
      <c r="E53" s="43"/>
      <c r="F53" s="44"/>
    </row>
    <row r="54" spans="1:6" x14ac:dyDescent="0.25">
      <c r="A54" s="44"/>
      <c r="B54" s="44"/>
      <c r="C54" s="44"/>
      <c r="D54" s="56"/>
      <c r="E54" s="43"/>
      <c r="F54" s="44"/>
    </row>
    <row r="55" spans="1:6" x14ac:dyDescent="0.25">
      <c r="A55" s="44"/>
      <c r="B55" s="44"/>
      <c r="C55" s="44"/>
      <c r="D55" s="56"/>
      <c r="E55" s="43"/>
      <c r="F55" s="44"/>
    </row>
    <row r="56" spans="1:6" x14ac:dyDescent="0.25">
      <c r="A56" s="44"/>
      <c r="B56" s="44"/>
      <c r="C56" s="44"/>
      <c r="D56" s="56"/>
      <c r="E56" s="43"/>
      <c r="F56" s="44"/>
    </row>
    <row r="57" spans="1:6" x14ac:dyDescent="0.25">
      <c r="A57" s="44"/>
      <c r="B57" s="44"/>
      <c r="C57" s="44"/>
      <c r="D57" s="56"/>
      <c r="E57" s="43"/>
      <c r="F57" s="44"/>
    </row>
    <row r="58" spans="1:6" x14ac:dyDescent="0.25">
      <c r="A58" s="44"/>
      <c r="B58" s="44"/>
      <c r="C58" s="44"/>
      <c r="D58" s="56"/>
      <c r="E58" s="43"/>
      <c r="F58" s="44"/>
    </row>
    <row r="59" spans="1:6" x14ac:dyDescent="0.25">
      <c r="A59" s="44"/>
      <c r="B59" s="44"/>
      <c r="C59" s="44"/>
      <c r="D59" s="56"/>
      <c r="E59" s="43"/>
      <c r="F59" s="44"/>
    </row>
    <row r="60" spans="1:6" x14ac:dyDescent="0.25">
      <c r="A60" s="44"/>
      <c r="B60" s="44"/>
      <c r="C60" s="44"/>
      <c r="D60" s="56"/>
      <c r="E60" s="43"/>
      <c r="F60" s="44"/>
    </row>
    <row r="61" spans="1:6" x14ac:dyDescent="0.25">
      <c r="A61" s="44"/>
      <c r="B61" s="44"/>
      <c r="C61" s="44"/>
      <c r="D61" s="56"/>
      <c r="E61" s="43"/>
      <c r="F61" s="44"/>
    </row>
    <row r="62" spans="1:6" x14ac:dyDescent="0.25">
      <c r="A62" s="44"/>
      <c r="B62" s="44"/>
      <c r="C62" s="44"/>
      <c r="D62" s="56"/>
      <c r="E62" s="43"/>
      <c r="F62" s="44"/>
    </row>
    <row r="63" spans="1:6" x14ac:dyDescent="0.25">
      <c r="A63" s="44"/>
      <c r="B63" s="44"/>
      <c r="C63" s="44"/>
      <c r="D63" s="56"/>
      <c r="E63" s="43"/>
      <c r="F63" s="44"/>
    </row>
    <row r="64" spans="1:6" x14ac:dyDescent="0.25">
      <c r="A64" s="44"/>
      <c r="B64" s="44"/>
      <c r="C64" s="44"/>
      <c r="D64" s="56"/>
      <c r="E64" s="43"/>
      <c r="F64" s="44"/>
    </row>
    <row r="66" spans="1:6" x14ac:dyDescent="0.25">
      <c r="A66" s="18" t="s">
        <v>168</v>
      </c>
      <c r="B66" s="18"/>
      <c r="C66" s="18"/>
      <c r="D66" s="57" t="s">
        <v>169</v>
      </c>
      <c r="E66" s="57" t="s">
        <v>170</v>
      </c>
      <c r="F66" s="18"/>
    </row>
    <row r="67" spans="1:6" x14ac:dyDescent="0.25">
      <c r="A67" s="58" t="str">
        <f>IF(Stammdaten!$A$14="","",Stammdaten!$A$14)</f>
        <v>SV F'bach-Pf'kon</v>
      </c>
      <c r="B67" s="58"/>
      <c r="C67" s="58"/>
      <c r="D67" s="59">
        <f>SUMIFS($D$5:$D$64,$C$5:$C$64,$A67,$E$5:$E$64,"x")</f>
        <v>108</v>
      </c>
      <c r="E67" s="59">
        <f>SUMIFS($D$5:$D$64,$C$5:$C$64,$A67,$E$5:$E$64,"OK")</f>
        <v>0</v>
      </c>
      <c r="F67" s="58"/>
    </row>
    <row r="68" spans="1:6" x14ac:dyDescent="0.25">
      <c r="A68" s="58" t="str">
        <f>IF(Stammdaten!$A$15="","",Stammdaten!$A$15)</f>
        <v>MSV Wilen</v>
      </c>
      <c r="B68" s="58"/>
      <c r="C68" s="58"/>
      <c r="D68" s="59">
        <f>SUMIFS($D$5:$D$64,$C$5:$C$64,$A68,$E$5:$E$64,"x")</f>
        <v>103</v>
      </c>
      <c r="E68" s="59">
        <f>SUMIFS($D$5:$D$64,$C$5:$C$64,$A68,$E$5:$E$64,"OK")</f>
        <v>0</v>
      </c>
      <c r="F68" s="58"/>
    </row>
    <row r="69" spans="1:6" x14ac:dyDescent="0.25">
      <c r="A69" s="58" t="str">
        <f>IF(Stammdaten!$A$16="","",Stammdaten!$A$16)</f>
        <v>SV Wollerau</v>
      </c>
      <c r="B69" s="58"/>
      <c r="C69" s="58"/>
      <c r="D69" s="59">
        <f>SUMIFS($D$5:$D$64,$C$5:$C$64,$A69,$E$5:$E$64,"x")</f>
        <v>62</v>
      </c>
      <c r="E69" s="59">
        <f>SUMIFS($D$5:$D$64,$C$5:$C$64,$A69,$E$5:$E$64,"OK")</f>
        <v>0</v>
      </c>
      <c r="F69" s="58"/>
    </row>
    <row r="71" spans="1:6" x14ac:dyDescent="0.25">
      <c r="A71" s="7" t="s">
        <v>171</v>
      </c>
    </row>
    <row r="72" spans="1:6" x14ac:dyDescent="0.25">
      <c r="A72" s="7" t="s">
        <v>172</v>
      </c>
    </row>
  </sheetData>
  <dataValidations count="1">
    <dataValidation type="list" allowBlank="1" sqref="E5:E64" xr:uid="{00000000-0002-0000-0400-000001000000}">
      <formula1>"x,OK"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Stammdaten!$A$14:$A$19</xm:f>
          </x14:formula1>
          <x14:formula2>
            <xm:f>0</xm:f>
          </x14:formula2>
          <xm:sqref>C5:C64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68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6" customWidth="1"/>
    <col min="2" max="2" width="10" customWidth="1"/>
    <col min="3" max="3" width="12" customWidth="1"/>
    <col min="4" max="4" width="17" customWidth="1"/>
    <col min="5" max="5" width="24" customWidth="1"/>
    <col min="6" max="6" width="19" customWidth="1"/>
    <col min="7" max="7" width="8" customWidth="1"/>
    <col min="8" max="8" width="11" customWidth="1"/>
    <col min="9" max="9" width="62" customWidth="1"/>
  </cols>
  <sheetData>
    <row r="1" spans="1:9" ht="20.25" x14ac:dyDescent="0.3">
      <c r="A1" s="46" t="s">
        <v>173</v>
      </c>
    </row>
    <row r="2" spans="1:9" x14ac:dyDescent="0.25">
      <c r="A2" s="7" t="s">
        <v>174</v>
      </c>
    </row>
    <row r="4" spans="1:9" ht="27.75" customHeight="1" x14ac:dyDescent="0.25">
      <c r="A4" s="11" t="s">
        <v>175</v>
      </c>
      <c r="B4" s="11" t="s">
        <v>7</v>
      </c>
      <c r="C4" s="11" t="s">
        <v>8</v>
      </c>
      <c r="D4" s="11" t="s">
        <v>37</v>
      </c>
      <c r="E4" s="11" t="s">
        <v>38</v>
      </c>
      <c r="F4" s="11" t="s">
        <v>39</v>
      </c>
      <c r="G4" s="11" t="s">
        <v>40</v>
      </c>
      <c r="H4" s="11" t="s">
        <v>42</v>
      </c>
      <c r="I4" s="11" t="s">
        <v>176</v>
      </c>
    </row>
    <row r="5" spans="1:9" ht="25.5" x14ac:dyDescent="0.25">
      <c r="A5" s="34">
        <f>IFERROR(IF(MATCH(1,Zuteilungen!$J$2:$J$200,0)&gt;0,1,""),"")</f>
        <v>1</v>
      </c>
      <c r="B5" s="34" t="str">
        <f>IFERROR(IF(INDEX(Zuteilungen!$A$2:$A$200,MATCH(1,Zuteilungen!$J$2:$J$200,0))="","",INDEX(Zuteilungen!$A$2:$A$200,MATCH(1,Zuteilungen!$J$2:$J$200,0))),"")</f>
        <v>E5</v>
      </c>
      <c r="C5" s="13">
        <f>IFERROR(IF(INDEX(Zuteilungen!$B$2:$B$200,MATCH(1,Zuteilungen!$J$2:$J$200,0))="","",INDEX(Zuteilungen!$B$2:$B$200,MATCH(1,Zuteilungen!$J$2:$J$200,0))),"")</f>
        <v>45773</v>
      </c>
      <c r="D5" s="12" t="str">
        <f>IFERROR(IF(INDEX(Zuteilungen!$C$2:$C$200,MATCH(1,Zuteilungen!$J$2:$J$200,0))="","",INDEX(Zuteilungen!$C$2:$C$200,MATCH(1,Zuteilungen!$J$2:$J$200,0))),"")</f>
        <v>Warner</v>
      </c>
      <c r="E5" s="12" t="str">
        <f>IFERROR(IF(INDEX(Zuteilungen!$D$2:$D$200,MATCH(1,Zuteilungen!$J$2:$J$200,0))="","",INDEX(Zuteilungen!$D$2:$D$200,MATCH(1,Zuteilungen!$J$2:$J$200,0))),"")</f>
        <v>Blättler Renata</v>
      </c>
      <c r="F5" s="12" t="str">
        <f>IFERROR(IF(INDEX(Zuteilungen!$E$2:$E$200,MATCH(1,Zuteilungen!$J$2:$J$200,0))="","",INDEX(Zuteilungen!$E$2:$E$200,MATCH(1,Zuteilungen!$J$2:$J$200,0))),"")</f>
        <v>SV Wollerau</v>
      </c>
      <c r="G5" s="34" t="str">
        <f>IFERROR(IF(INDEX(Zuteilungen!$F$2:$F$200,MATCH(1,Zuteilungen!$J$2:$J$200,0))="","",INDEX(Zuteilungen!$F$2:$F$200,MATCH(1,Zuteilungen!$J$2:$J$200,0))),"")</f>
        <v>x</v>
      </c>
      <c r="H5" s="60">
        <f>IFERROR(IF(INDEX(Zuteilungen!$H$2:$H$200,MATCH(1,Zuteilungen!$J$2:$J$200,0))="","",INDEX(Zuteilungen!$H$2:$H$200,MATCH(1,Zuteilungen!$J$2:$J$200,0))),"")</f>
        <v>5</v>
      </c>
      <c r="I5" s="61" t="str">
        <f>IFERROR(IF(INDEX(Zuteilungen!$I$2:$I$200,MATCH(1,Zuteilungen!$J$2:$J$200,0))="","",INDEX(Zuteilungen!$I$2:$I$200,MATCH(1,Zuteilungen!$J$2:$J$200,0))),"")</f>
        <v>Nachtrag: Einsatz Samstag, 26.04.2025 vormittags – in der Liste 2026 nicht erfasst (in der Abrechnung 2025 ohne Stundenwert)</v>
      </c>
    </row>
    <row r="6" spans="1:9" x14ac:dyDescent="0.25">
      <c r="A6" s="30" t="str">
        <f>IFERROR(IF(MATCH(2,Zuteilungen!$J$2:$J$200,0)&gt;0,2,""),"")</f>
        <v/>
      </c>
      <c r="B6" s="30" t="str">
        <f>IFERROR(IF(INDEX(Zuteilungen!$A$2:$A$200,MATCH(2,Zuteilungen!$J$2:$J$200,0))="","",INDEX(Zuteilungen!$A$2:$A$200,MATCH(2,Zuteilungen!$J$2:$J$200,0))),"")</f>
        <v/>
      </c>
      <c r="C6" s="16" t="str">
        <f>IFERROR(IF(INDEX(Zuteilungen!$B$2:$B$200,MATCH(2,Zuteilungen!$J$2:$J$200,0))="","",INDEX(Zuteilungen!$B$2:$B$200,MATCH(2,Zuteilungen!$J$2:$J$200,0))),"")</f>
        <v/>
      </c>
      <c r="D6" s="15" t="str">
        <f>IFERROR(IF(INDEX(Zuteilungen!$C$2:$C$200,MATCH(2,Zuteilungen!$J$2:$J$200,0))="","",INDEX(Zuteilungen!$C$2:$C$200,MATCH(2,Zuteilungen!$J$2:$J$200,0))),"")</f>
        <v/>
      </c>
      <c r="E6" s="15" t="str">
        <f>IFERROR(IF(INDEX(Zuteilungen!$D$2:$D$200,MATCH(2,Zuteilungen!$J$2:$J$200,0))="","",INDEX(Zuteilungen!$D$2:$D$200,MATCH(2,Zuteilungen!$J$2:$J$200,0))),"")</f>
        <v/>
      </c>
      <c r="F6" s="15" t="str">
        <f>IFERROR(IF(INDEX(Zuteilungen!$E$2:$E$200,MATCH(2,Zuteilungen!$J$2:$J$200,0))="","",INDEX(Zuteilungen!$E$2:$E$200,MATCH(2,Zuteilungen!$J$2:$J$200,0))),"")</f>
        <v/>
      </c>
      <c r="G6" s="30" t="str">
        <f>IFERROR(IF(INDEX(Zuteilungen!$F$2:$F$200,MATCH(2,Zuteilungen!$J$2:$J$200,0))="","",INDEX(Zuteilungen!$F$2:$F$200,MATCH(2,Zuteilungen!$J$2:$J$200,0))),"")</f>
        <v/>
      </c>
      <c r="H6" s="62" t="str">
        <f>IFERROR(IF(INDEX(Zuteilungen!$H$2:$H$200,MATCH(2,Zuteilungen!$J$2:$J$200,0))="","",INDEX(Zuteilungen!$H$2:$H$200,MATCH(2,Zuteilungen!$J$2:$J$200,0))),"")</f>
        <v/>
      </c>
      <c r="I6" s="63" t="str">
        <f>IFERROR(IF(INDEX(Zuteilungen!$I$2:$I$200,MATCH(2,Zuteilungen!$J$2:$J$200,0))="","",INDEX(Zuteilungen!$I$2:$I$200,MATCH(2,Zuteilungen!$J$2:$J$200,0))),"")</f>
        <v/>
      </c>
    </row>
    <row r="7" spans="1:9" x14ac:dyDescent="0.25">
      <c r="A7" s="34" t="str">
        <f>IFERROR(IF(MATCH(3,Zuteilungen!$J$2:$J$200,0)&gt;0,3,""),"")</f>
        <v/>
      </c>
      <c r="B7" s="34" t="str">
        <f>IFERROR(IF(INDEX(Zuteilungen!$A$2:$A$200,MATCH(3,Zuteilungen!$J$2:$J$200,0))="","",INDEX(Zuteilungen!$A$2:$A$200,MATCH(3,Zuteilungen!$J$2:$J$200,0))),"")</f>
        <v/>
      </c>
      <c r="C7" s="13" t="str">
        <f>IFERROR(IF(INDEX(Zuteilungen!$B$2:$B$200,MATCH(3,Zuteilungen!$J$2:$J$200,0))="","",INDEX(Zuteilungen!$B$2:$B$200,MATCH(3,Zuteilungen!$J$2:$J$200,0))),"")</f>
        <v/>
      </c>
      <c r="D7" s="12" t="str">
        <f>IFERROR(IF(INDEX(Zuteilungen!$C$2:$C$200,MATCH(3,Zuteilungen!$J$2:$J$200,0))="","",INDEX(Zuteilungen!$C$2:$C$200,MATCH(3,Zuteilungen!$J$2:$J$200,0))),"")</f>
        <v/>
      </c>
      <c r="E7" s="12" t="str">
        <f>IFERROR(IF(INDEX(Zuteilungen!$D$2:$D$200,MATCH(3,Zuteilungen!$J$2:$J$200,0))="","",INDEX(Zuteilungen!$D$2:$D$200,MATCH(3,Zuteilungen!$J$2:$J$200,0))),"")</f>
        <v/>
      </c>
      <c r="F7" s="12" t="str">
        <f>IFERROR(IF(INDEX(Zuteilungen!$E$2:$E$200,MATCH(3,Zuteilungen!$J$2:$J$200,0))="","",INDEX(Zuteilungen!$E$2:$E$200,MATCH(3,Zuteilungen!$J$2:$J$200,0))),"")</f>
        <v/>
      </c>
      <c r="G7" s="34" t="str">
        <f>IFERROR(IF(INDEX(Zuteilungen!$F$2:$F$200,MATCH(3,Zuteilungen!$J$2:$J$200,0))="","",INDEX(Zuteilungen!$F$2:$F$200,MATCH(3,Zuteilungen!$J$2:$J$200,0))),"")</f>
        <v/>
      </c>
      <c r="H7" s="60" t="str">
        <f>IFERROR(IF(INDEX(Zuteilungen!$H$2:$H$200,MATCH(3,Zuteilungen!$J$2:$J$200,0))="","",INDEX(Zuteilungen!$H$2:$H$200,MATCH(3,Zuteilungen!$J$2:$J$200,0))),"")</f>
        <v/>
      </c>
      <c r="I7" s="61" t="str">
        <f>IFERROR(IF(INDEX(Zuteilungen!$I$2:$I$200,MATCH(3,Zuteilungen!$J$2:$J$200,0))="","",INDEX(Zuteilungen!$I$2:$I$200,MATCH(3,Zuteilungen!$J$2:$J$200,0))),"")</f>
        <v/>
      </c>
    </row>
    <row r="8" spans="1:9" x14ac:dyDescent="0.25">
      <c r="A8" s="30" t="str">
        <f>IFERROR(IF(MATCH(4,Zuteilungen!$J$2:$J$200,0)&gt;0,4,""),"")</f>
        <v/>
      </c>
      <c r="B8" s="30" t="str">
        <f>IFERROR(IF(INDEX(Zuteilungen!$A$2:$A$200,MATCH(4,Zuteilungen!$J$2:$J$200,0))="","",INDEX(Zuteilungen!$A$2:$A$200,MATCH(4,Zuteilungen!$J$2:$J$200,0))),"")</f>
        <v/>
      </c>
      <c r="C8" s="16" t="str">
        <f>IFERROR(IF(INDEX(Zuteilungen!$B$2:$B$200,MATCH(4,Zuteilungen!$J$2:$J$200,0))="","",INDEX(Zuteilungen!$B$2:$B$200,MATCH(4,Zuteilungen!$J$2:$J$200,0))),"")</f>
        <v/>
      </c>
      <c r="D8" s="15" t="str">
        <f>IFERROR(IF(INDEX(Zuteilungen!$C$2:$C$200,MATCH(4,Zuteilungen!$J$2:$J$200,0))="","",INDEX(Zuteilungen!$C$2:$C$200,MATCH(4,Zuteilungen!$J$2:$J$200,0))),"")</f>
        <v/>
      </c>
      <c r="E8" s="15" t="str">
        <f>IFERROR(IF(INDEX(Zuteilungen!$D$2:$D$200,MATCH(4,Zuteilungen!$J$2:$J$200,0))="","",INDEX(Zuteilungen!$D$2:$D$200,MATCH(4,Zuteilungen!$J$2:$J$200,0))),"")</f>
        <v/>
      </c>
      <c r="F8" s="15" t="str">
        <f>IFERROR(IF(INDEX(Zuteilungen!$E$2:$E$200,MATCH(4,Zuteilungen!$J$2:$J$200,0))="","",INDEX(Zuteilungen!$E$2:$E$200,MATCH(4,Zuteilungen!$J$2:$J$200,0))),"")</f>
        <v/>
      </c>
      <c r="G8" s="30" t="str">
        <f>IFERROR(IF(INDEX(Zuteilungen!$F$2:$F$200,MATCH(4,Zuteilungen!$J$2:$J$200,0))="","",INDEX(Zuteilungen!$F$2:$F$200,MATCH(4,Zuteilungen!$J$2:$J$200,0))),"")</f>
        <v/>
      </c>
      <c r="H8" s="62" t="str">
        <f>IFERROR(IF(INDEX(Zuteilungen!$H$2:$H$200,MATCH(4,Zuteilungen!$J$2:$J$200,0))="","",INDEX(Zuteilungen!$H$2:$H$200,MATCH(4,Zuteilungen!$J$2:$J$200,0))),"")</f>
        <v/>
      </c>
      <c r="I8" s="63" t="str">
        <f>IFERROR(IF(INDEX(Zuteilungen!$I$2:$I$200,MATCH(4,Zuteilungen!$J$2:$J$200,0))="","",INDEX(Zuteilungen!$I$2:$I$200,MATCH(4,Zuteilungen!$J$2:$J$200,0))),"")</f>
        <v/>
      </c>
    </row>
    <row r="9" spans="1:9" x14ac:dyDescent="0.25">
      <c r="A9" s="34" t="str">
        <f>IFERROR(IF(MATCH(5,Zuteilungen!$J$2:$J$200,0)&gt;0,5,""),"")</f>
        <v/>
      </c>
      <c r="B9" s="34" t="str">
        <f>IFERROR(IF(INDEX(Zuteilungen!$A$2:$A$200,MATCH(5,Zuteilungen!$J$2:$J$200,0))="","",INDEX(Zuteilungen!$A$2:$A$200,MATCH(5,Zuteilungen!$J$2:$J$200,0))),"")</f>
        <v/>
      </c>
      <c r="C9" s="13" t="str">
        <f>IFERROR(IF(INDEX(Zuteilungen!$B$2:$B$200,MATCH(5,Zuteilungen!$J$2:$J$200,0))="","",INDEX(Zuteilungen!$B$2:$B$200,MATCH(5,Zuteilungen!$J$2:$J$200,0))),"")</f>
        <v/>
      </c>
      <c r="D9" s="12" t="str">
        <f>IFERROR(IF(INDEX(Zuteilungen!$C$2:$C$200,MATCH(5,Zuteilungen!$J$2:$J$200,0))="","",INDEX(Zuteilungen!$C$2:$C$200,MATCH(5,Zuteilungen!$J$2:$J$200,0))),"")</f>
        <v/>
      </c>
      <c r="E9" s="12" t="str">
        <f>IFERROR(IF(INDEX(Zuteilungen!$D$2:$D$200,MATCH(5,Zuteilungen!$J$2:$J$200,0))="","",INDEX(Zuteilungen!$D$2:$D$200,MATCH(5,Zuteilungen!$J$2:$J$200,0))),"")</f>
        <v/>
      </c>
      <c r="F9" s="12" t="str">
        <f>IFERROR(IF(INDEX(Zuteilungen!$E$2:$E$200,MATCH(5,Zuteilungen!$J$2:$J$200,0))="","",INDEX(Zuteilungen!$E$2:$E$200,MATCH(5,Zuteilungen!$J$2:$J$200,0))),"")</f>
        <v/>
      </c>
      <c r="G9" s="34" t="str">
        <f>IFERROR(IF(INDEX(Zuteilungen!$F$2:$F$200,MATCH(5,Zuteilungen!$J$2:$J$200,0))="","",INDEX(Zuteilungen!$F$2:$F$200,MATCH(5,Zuteilungen!$J$2:$J$200,0))),"")</f>
        <v/>
      </c>
      <c r="H9" s="60" t="str">
        <f>IFERROR(IF(INDEX(Zuteilungen!$H$2:$H$200,MATCH(5,Zuteilungen!$J$2:$J$200,0))="","",INDEX(Zuteilungen!$H$2:$H$200,MATCH(5,Zuteilungen!$J$2:$J$200,0))),"")</f>
        <v/>
      </c>
      <c r="I9" s="61" t="str">
        <f>IFERROR(IF(INDEX(Zuteilungen!$I$2:$I$200,MATCH(5,Zuteilungen!$J$2:$J$200,0))="","",INDEX(Zuteilungen!$I$2:$I$200,MATCH(5,Zuteilungen!$J$2:$J$200,0))),"")</f>
        <v/>
      </c>
    </row>
    <row r="10" spans="1:9" x14ac:dyDescent="0.25">
      <c r="A10" s="30" t="str">
        <f>IFERROR(IF(MATCH(6,Zuteilungen!$J$2:$J$200,0)&gt;0,6,""),"")</f>
        <v/>
      </c>
      <c r="B10" s="30" t="str">
        <f>IFERROR(IF(INDEX(Zuteilungen!$A$2:$A$200,MATCH(6,Zuteilungen!$J$2:$J$200,0))="","",INDEX(Zuteilungen!$A$2:$A$200,MATCH(6,Zuteilungen!$J$2:$J$200,0))),"")</f>
        <v/>
      </c>
      <c r="C10" s="16" t="str">
        <f>IFERROR(IF(INDEX(Zuteilungen!$B$2:$B$200,MATCH(6,Zuteilungen!$J$2:$J$200,0))="","",INDEX(Zuteilungen!$B$2:$B$200,MATCH(6,Zuteilungen!$J$2:$J$200,0))),"")</f>
        <v/>
      </c>
      <c r="D10" s="15" t="str">
        <f>IFERROR(IF(INDEX(Zuteilungen!$C$2:$C$200,MATCH(6,Zuteilungen!$J$2:$J$200,0))="","",INDEX(Zuteilungen!$C$2:$C$200,MATCH(6,Zuteilungen!$J$2:$J$200,0))),"")</f>
        <v/>
      </c>
      <c r="E10" s="15" t="str">
        <f>IFERROR(IF(INDEX(Zuteilungen!$D$2:$D$200,MATCH(6,Zuteilungen!$J$2:$J$200,0))="","",INDEX(Zuteilungen!$D$2:$D$200,MATCH(6,Zuteilungen!$J$2:$J$200,0))),"")</f>
        <v/>
      </c>
      <c r="F10" s="15" t="str">
        <f>IFERROR(IF(INDEX(Zuteilungen!$E$2:$E$200,MATCH(6,Zuteilungen!$J$2:$J$200,0))="","",INDEX(Zuteilungen!$E$2:$E$200,MATCH(6,Zuteilungen!$J$2:$J$200,0))),"")</f>
        <v/>
      </c>
      <c r="G10" s="30" t="str">
        <f>IFERROR(IF(INDEX(Zuteilungen!$F$2:$F$200,MATCH(6,Zuteilungen!$J$2:$J$200,0))="","",INDEX(Zuteilungen!$F$2:$F$200,MATCH(6,Zuteilungen!$J$2:$J$200,0))),"")</f>
        <v/>
      </c>
      <c r="H10" s="62" t="str">
        <f>IFERROR(IF(INDEX(Zuteilungen!$H$2:$H$200,MATCH(6,Zuteilungen!$J$2:$J$200,0))="","",INDEX(Zuteilungen!$H$2:$H$200,MATCH(6,Zuteilungen!$J$2:$J$200,0))),"")</f>
        <v/>
      </c>
      <c r="I10" s="63" t="str">
        <f>IFERROR(IF(INDEX(Zuteilungen!$I$2:$I$200,MATCH(6,Zuteilungen!$J$2:$J$200,0))="","",INDEX(Zuteilungen!$I$2:$I$200,MATCH(6,Zuteilungen!$J$2:$J$200,0))),"")</f>
        <v/>
      </c>
    </row>
    <row r="11" spans="1:9" x14ac:dyDescent="0.25">
      <c r="A11" s="34" t="str">
        <f>IFERROR(IF(MATCH(7,Zuteilungen!$J$2:$J$200,0)&gt;0,7,""),"")</f>
        <v/>
      </c>
      <c r="B11" s="34" t="str">
        <f>IFERROR(IF(INDEX(Zuteilungen!$A$2:$A$200,MATCH(7,Zuteilungen!$J$2:$J$200,0))="","",INDEX(Zuteilungen!$A$2:$A$200,MATCH(7,Zuteilungen!$J$2:$J$200,0))),"")</f>
        <v/>
      </c>
      <c r="C11" s="13" t="str">
        <f>IFERROR(IF(INDEX(Zuteilungen!$B$2:$B$200,MATCH(7,Zuteilungen!$J$2:$J$200,0))="","",INDEX(Zuteilungen!$B$2:$B$200,MATCH(7,Zuteilungen!$J$2:$J$200,0))),"")</f>
        <v/>
      </c>
      <c r="D11" s="12" t="str">
        <f>IFERROR(IF(INDEX(Zuteilungen!$C$2:$C$200,MATCH(7,Zuteilungen!$J$2:$J$200,0))="","",INDEX(Zuteilungen!$C$2:$C$200,MATCH(7,Zuteilungen!$J$2:$J$200,0))),"")</f>
        <v/>
      </c>
      <c r="E11" s="12" t="str">
        <f>IFERROR(IF(INDEX(Zuteilungen!$D$2:$D$200,MATCH(7,Zuteilungen!$J$2:$J$200,0))="","",INDEX(Zuteilungen!$D$2:$D$200,MATCH(7,Zuteilungen!$J$2:$J$200,0))),"")</f>
        <v/>
      </c>
      <c r="F11" s="12" t="str">
        <f>IFERROR(IF(INDEX(Zuteilungen!$E$2:$E$200,MATCH(7,Zuteilungen!$J$2:$J$200,0))="","",INDEX(Zuteilungen!$E$2:$E$200,MATCH(7,Zuteilungen!$J$2:$J$200,0))),"")</f>
        <v/>
      </c>
      <c r="G11" s="34" t="str">
        <f>IFERROR(IF(INDEX(Zuteilungen!$F$2:$F$200,MATCH(7,Zuteilungen!$J$2:$J$200,0))="","",INDEX(Zuteilungen!$F$2:$F$200,MATCH(7,Zuteilungen!$J$2:$J$200,0))),"")</f>
        <v/>
      </c>
      <c r="H11" s="60" t="str">
        <f>IFERROR(IF(INDEX(Zuteilungen!$H$2:$H$200,MATCH(7,Zuteilungen!$J$2:$J$200,0))="","",INDEX(Zuteilungen!$H$2:$H$200,MATCH(7,Zuteilungen!$J$2:$J$200,0))),"")</f>
        <v/>
      </c>
      <c r="I11" s="61" t="str">
        <f>IFERROR(IF(INDEX(Zuteilungen!$I$2:$I$200,MATCH(7,Zuteilungen!$J$2:$J$200,0))="","",INDEX(Zuteilungen!$I$2:$I$200,MATCH(7,Zuteilungen!$J$2:$J$200,0))),"")</f>
        <v/>
      </c>
    </row>
    <row r="12" spans="1:9" x14ac:dyDescent="0.25">
      <c r="A12" s="30" t="str">
        <f>IFERROR(IF(MATCH(8,Zuteilungen!$J$2:$J$200,0)&gt;0,8,""),"")</f>
        <v/>
      </c>
      <c r="B12" s="30" t="str">
        <f>IFERROR(IF(INDEX(Zuteilungen!$A$2:$A$200,MATCH(8,Zuteilungen!$J$2:$J$200,0))="","",INDEX(Zuteilungen!$A$2:$A$200,MATCH(8,Zuteilungen!$J$2:$J$200,0))),"")</f>
        <v/>
      </c>
      <c r="C12" s="16" t="str">
        <f>IFERROR(IF(INDEX(Zuteilungen!$B$2:$B$200,MATCH(8,Zuteilungen!$J$2:$J$200,0))="","",INDEX(Zuteilungen!$B$2:$B$200,MATCH(8,Zuteilungen!$J$2:$J$200,0))),"")</f>
        <v/>
      </c>
      <c r="D12" s="15" t="str">
        <f>IFERROR(IF(INDEX(Zuteilungen!$C$2:$C$200,MATCH(8,Zuteilungen!$J$2:$J$200,0))="","",INDEX(Zuteilungen!$C$2:$C$200,MATCH(8,Zuteilungen!$J$2:$J$200,0))),"")</f>
        <v/>
      </c>
      <c r="E12" s="15" t="str">
        <f>IFERROR(IF(INDEX(Zuteilungen!$D$2:$D$200,MATCH(8,Zuteilungen!$J$2:$J$200,0))="","",INDEX(Zuteilungen!$D$2:$D$200,MATCH(8,Zuteilungen!$J$2:$J$200,0))),"")</f>
        <v/>
      </c>
      <c r="F12" s="15" t="str">
        <f>IFERROR(IF(INDEX(Zuteilungen!$E$2:$E$200,MATCH(8,Zuteilungen!$J$2:$J$200,0))="","",INDEX(Zuteilungen!$E$2:$E$200,MATCH(8,Zuteilungen!$J$2:$J$200,0))),"")</f>
        <v/>
      </c>
      <c r="G12" s="30" t="str">
        <f>IFERROR(IF(INDEX(Zuteilungen!$F$2:$F$200,MATCH(8,Zuteilungen!$J$2:$J$200,0))="","",INDEX(Zuteilungen!$F$2:$F$200,MATCH(8,Zuteilungen!$J$2:$J$200,0))),"")</f>
        <v/>
      </c>
      <c r="H12" s="62" t="str">
        <f>IFERROR(IF(INDEX(Zuteilungen!$H$2:$H$200,MATCH(8,Zuteilungen!$J$2:$J$200,0))="","",INDEX(Zuteilungen!$H$2:$H$200,MATCH(8,Zuteilungen!$J$2:$J$200,0))),"")</f>
        <v/>
      </c>
      <c r="I12" s="63" t="str">
        <f>IFERROR(IF(INDEX(Zuteilungen!$I$2:$I$200,MATCH(8,Zuteilungen!$J$2:$J$200,0))="","",INDEX(Zuteilungen!$I$2:$I$200,MATCH(8,Zuteilungen!$J$2:$J$200,0))),"")</f>
        <v/>
      </c>
    </row>
    <row r="13" spans="1:9" x14ac:dyDescent="0.25">
      <c r="A13" s="34" t="str">
        <f>IFERROR(IF(MATCH(9,Zuteilungen!$J$2:$J$200,0)&gt;0,9,""),"")</f>
        <v/>
      </c>
      <c r="B13" s="34" t="str">
        <f>IFERROR(IF(INDEX(Zuteilungen!$A$2:$A$200,MATCH(9,Zuteilungen!$J$2:$J$200,0))="","",INDEX(Zuteilungen!$A$2:$A$200,MATCH(9,Zuteilungen!$J$2:$J$200,0))),"")</f>
        <v/>
      </c>
      <c r="C13" s="13" t="str">
        <f>IFERROR(IF(INDEX(Zuteilungen!$B$2:$B$200,MATCH(9,Zuteilungen!$J$2:$J$200,0))="","",INDEX(Zuteilungen!$B$2:$B$200,MATCH(9,Zuteilungen!$J$2:$J$200,0))),"")</f>
        <v/>
      </c>
      <c r="D13" s="12" t="str">
        <f>IFERROR(IF(INDEX(Zuteilungen!$C$2:$C$200,MATCH(9,Zuteilungen!$J$2:$J$200,0))="","",INDEX(Zuteilungen!$C$2:$C$200,MATCH(9,Zuteilungen!$J$2:$J$200,0))),"")</f>
        <v/>
      </c>
      <c r="E13" s="12" t="str">
        <f>IFERROR(IF(INDEX(Zuteilungen!$D$2:$D$200,MATCH(9,Zuteilungen!$J$2:$J$200,0))="","",INDEX(Zuteilungen!$D$2:$D$200,MATCH(9,Zuteilungen!$J$2:$J$200,0))),"")</f>
        <v/>
      </c>
      <c r="F13" s="12" t="str">
        <f>IFERROR(IF(INDEX(Zuteilungen!$E$2:$E$200,MATCH(9,Zuteilungen!$J$2:$J$200,0))="","",INDEX(Zuteilungen!$E$2:$E$200,MATCH(9,Zuteilungen!$J$2:$J$200,0))),"")</f>
        <v/>
      </c>
      <c r="G13" s="34" t="str">
        <f>IFERROR(IF(INDEX(Zuteilungen!$F$2:$F$200,MATCH(9,Zuteilungen!$J$2:$J$200,0))="","",INDEX(Zuteilungen!$F$2:$F$200,MATCH(9,Zuteilungen!$J$2:$J$200,0))),"")</f>
        <v/>
      </c>
      <c r="H13" s="60" t="str">
        <f>IFERROR(IF(INDEX(Zuteilungen!$H$2:$H$200,MATCH(9,Zuteilungen!$J$2:$J$200,0))="","",INDEX(Zuteilungen!$H$2:$H$200,MATCH(9,Zuteilungen!$J$2:$J$200,0))),"")</f>
        <v/>
      </c>
      <c r="I13" s="61" t="str">
        <f>IFERROR(IF(INDEX(Zuteilungen!$I$2:$I$200,MATCH(9,Zuteilungen!$J$2:$J$200,0))="","",INDEX(Zuteilungen!$I$2:$I$200,MATCH(9,Zuteilungen!$J$2:$J$200,0))),"")</f>
        <v/>
      </c>
    </row>
    <row r="14" spans="1:9" x14ac:dyDescent="0.25">
      <c r="A14" s="30" t="str">
        <f>IFERROR(IF(MATCH(10,Zuteilungen!$J$2:$J$200,0)&gt;0,10,""),"")</f>
        <v/>
      </c>
      <c r="B14" s="30" t="str">
        <f>IFERROR(IF(INDEX(Zuteilungen!$A$2:$A$200,MATCH(10,Zuteilungen!$J$2:$J$200,0))="","",INDEX(Zuteilungen!$A$2:$A$200,MATCH(10,Zuteilungen!$J$2:$J$200,0))),"")</f>
        <v/>
      </c>
      <c r="C14" s="16" t="str">
        <f>IFERROR(IF(INDEX(Zuteilungen!$B$2:$B$200,MATCH(10,Zuteilungen!$J$2:$J$200,0))="","",INDEX(Zuteilungen!$B$2:$B$200,MATCH(10,Zuteilungen!$J$2:$J$200,0))),"")</f>
        <v/>
      </c>
      <c r="D14" s="15" t="str">
        <f>IFERROR(IF(INDEX(Zuteilungen!$C$2:$C$200,MATCH(10,Zuteilungen!$J$2:$J$200,0))="","",INDEX(Zuteilungen!$C$2:$C$200,MATCH(10,Zuteilungen!$J$2:$J$200,0))),"")</f>
        <v/>
      </c>
      <c r="E14" s="15" t="str">
        <f>IFERROR(IF(INDEX(Zuteilungen!$D$2:$D$200,MATCH(10,Zuteilungen!$J$2:$J$200,0))="","",INDEX(Zuteilungen!$D$2:$D$200,MATCH(10,Zuteilungen!$J$2:$J$200,0))),"")</f>
        <v/>
      </c>
      <c r="F14" s="15" t="str">
        <f>IFERROR(IF(INDEX(Zuteilungen!$E$2:$E$200,MATCH(10,Zuteilungen!$J$2:$J$200,0))="","",INDEX(Zuteilungen!$E$2:$E$200,MATCH(10,Zuteilungen!$J$2:$J$200,0))),"")</f>
        <v/>
      </c>
      <c r="G14" s="30" t="str">
        <f>IFERROR(IF(INDEX(Zuteilungen!$F$2:$F$200,MATCH(10,Zuteilungen!$J$2:$J$200,0))="","",INDEX(Zuteilungen!$F$2:$F$200,MATCH(10,Zuteilungen!$J$2:$J$200,0))),"")</f>
        <v/>
      </c>
      <c r="H14" s="62" t="str">
        <f>IFERROR(IF(INDEX(Zuteilungen!$H$2:$H$200,MATCH(10,Zuteilungen!$J$2:$J$200,0))="","",INDEX(Zuteilungen!$H$2:$H$200,MATCH(10,Zuteilungen!$J$2:$J$200,0))),"")</f>
        <v/>
      </c>
      <c r="I14" s="63" t="str">
        <f>IFERROR(IF(INDEX(Zuteilungen!$I$2:$I$200,MATCH(10,Zuteilungen!$J$2:$J$200,0))="","",INDEX(Zuteilungen!$I$2:$I$200,MATCH(10,Zuteilungen!$J$2:$J$200,0))),"")</f>
        <v/>
      </c>
    </row>
    <row r="15" spans="1:9" x14ac:dyDescent="0.25">
      <c r="A15" s="34" t="str">
        <f>IFERROR(IF(MATCH(11,Zuteilungen!$J$2:$J$200,0)&gt;0,11,""),"")</f>
        <v/>
      </c>
      <c r="B15" s="34" t="str">
        <f>IFERROR(IF(INDEX(Zuteilungen!$A$2:$A$200,MATCH(11,Zuteilungen!$J$2:$J$200,0))="","",INDEX(Zuteilungen!$A$2:$A$200,MATCH(11,Zuteilungen!$J$2:$J$200,0))),"")</f>
        <v/>
      </c>
      <c r="C15" s="13" t="str">
        <f>IFERROR(IF(INDEX(Zuteilungen!$B$2:$B$200,MATCH(11,Zuteilungen!$J$2:$J$200,0))="","",INDEX(Zuteilungen!$B$2:$B$200,MATCH(11,Zuteilungen!$J$2:$J$200,0))),"")</f>
        <v/>
      </c>
      <c r="D15" s="12" t="str">
        <f>IFERROR(IF(INDEX(Zuteilungen!$C$2:$C$200,MATCH(11,Zuteilungen!$J$2:$J$200,0))="","",INDEX(Zuteilungen!$C$2:$C$200,MATCH(11,Zuteilungen!$J$2:$J$200,0))),"")</f>
        <v/>
      </c>
      <c r="E15" s="12" t="str">
        <f>IFERROR(IF(INDEX(Zuteilungen!$D$2:$D$200,MATCH(11,Zuteilungen!$J$2:$J$200,0))="","",INDEX(Zuteilungen!$D$2:$D$200,MATCH(11,Zuteilungen!$J$2:$J$200,0))),"")</f>
        <v/>
      </c>
      <c r="F15" s="12" t="str">
        <f>IFERROR(IF(INDEX(Zuteilungen!$E$2:$E$200,MATCH(11,Zuteilungen!$J$2:$J$200,0))="","",INDEX(Zuteilungen!$E$2:$E$200,MATCH(11,Zuteilungen!$J$2:$J$200,0))),"")</f>
        <v/>
      </c>
      <c r="G15" s="34" t="str">
        <f>IFERROR(IF(INDEX(Zuteilungen!$F$2:$F$200,MATCH(11,Zuteilungen!$J$2:$J$200,0))="","",INDEX(Zuteilungen!$F$2:$F$200,MATCH(11,Zuteilungen!$J$2:$J$200,0))),"")</f>
        <v/>
      </c>
      <c r="H15" s="60" t="str">
        <f>IFERROR(IF(INDEX(Zuteilungen!$H$2:$H$200,MATCH(11,Zuteilungen!$J$2:$J$200,0))="","",INDEX(Zuteilungen!$H$2:$H$200,MATCH(11,Zuteilungen!$J$2:$J$200,0))),"")</f>
        <v/>
      </c>
      <c r="I15" s="61" t="str">
        <f>IFERROR(IF(INDEX(Zuteilungen!$I$2:$I$200,MATCH(11,Zuteilungen!$J$2:$J$200,0))="","",INDEX(Zuteilungen!$I$2:$I$200,MATCH(11,Zuteilungen!$J$2:$J$200,0))),"")</f>
        <v/>
      </c>
    </row>
    <row r="16" spans="1:9" x14ac:dyDescent="0.25">
      <c r="A16" s="30" t="str">
        <f>IFERROR(IF(MATCH(12,Zuteilungen!$J$2:$J$200,0)&gt;0,12,""),"")</f>
        <v/>
      </c>
      <c r="B16" s="30" t="str">
        <f>IFERROR(IF(INDEX(Zuteilungen!$A$2:$A$200,MATCH(12,Zuteilungen!$J$2:$J$200,0))="","",INDEX(Zuteilungen!$A$2:$A$200,MATCH(12,Zuteilungen!$J$2:$J$200,0))),"")</f>
        <v/>
      </c>
      <c r="C16" s="16" t="str">
        <f>IFERROR(IF(INDEX(Zuteilungen!$B$2:$B$200,MATCH(12,Zuteilungen!$J$2:$J$200,0))="","",INDEX(Zuteilungen!$B$2:$B$200,MATCH(12,Zuteilungen!$J$2:$J$200,0))),"")</f>
        <v/>
      </c>
      <c r="D16" s="15" t="str">
        <f>IFERROR(IF(INDEX(Zuteilungen!$C$2:$C$200,MATCH(12,Zuteilungen!$J$2:$J$200,0))="","",INDEX(Zuteilungen!$C$2:$C$200,MATCH(12,Zuteilungen!$J$2:$J$200,0))),"")</f>
        <v/>
      </c>
      <c r="E16" s="15" t="str">
        <f>IFERROR(IF(INDEX(Zuteilungen!$D$2:$D$200,MATCH(12,Zuteilungen!$J$2:$J$200,0))="","",INDEX(Zuteilungen!$D$2:$D$200,MATCH(12,Zuteilungen!$J$2:$J$200,0))),"")</f>
        <v/>
      </c>
      <c r="F16" s="15" t="str">
        <f>IFERROR(IF(INDEX(Zuteilungen!$E$2:$E$200,MATCH(12,Zuteilungen!$J$2:$J$200,0))="","",INDEX(Zuteilungen!$E$2:$E$200,MATCH(12,Zuteilungen!$J$2:$J$200,0))),"")</f>
        <v/>
      </c>
      <c r="G16" s="30" t="str">
        <f>IFERROR(IF(INDEX(Zuteilungen!$F$2:$F$200,MATCH(12,Zuteilungen!$J$2:$J$200,0))="","",INDEX(Zuteilungen!$F$2:$F$200,MATCH(12,Zuteilungen!$J$2:$J$200,0))),"")</f>
        <v/>
      </c>
      <c r="H16" s="62" t="str">
        <f>IFERROR(IF(INDEX(Zuteilungen!$H$2:$H$200,MATCH(12,Zuteilungen!$J$2:$J$200,0))="","",INDEX(Zuteilungen!$H$2:$H$200,MATCH(12,Zuteilungen!$J$2:$J$200,0))),"")</f>
        <v/>
      </c>
      <c r="I16" s="63" t="str">
        <f>IFERROR(IF(INDEX(Zuteilungen!$I$2:$I$200,MATCH(12,Zuteilungen!$J$2:$J$200,0))="","",INDEX(Zuteilungen!$I$2:$I$200,MATCH(12,Zuteilungen!$J$2:$J$200,0))),"")</f>
        <v/>
      </c>
    </row>
    <row r="17" spans="1:9" x14ac:dyDescent="0.25">
      <c r="A17" s="34" t="str">
        <f>IFERROR(IF(MATCH(13,Zuteilungen!$J$2:$J$200,0)&gt;0,13,""),"")</f>
        <v/>
      </c>
      <c r="B17" s="34" t="str">
        <f>IFERROR(IF(INDEX(Zuteilungen!$A$2:$A$200,MATCH(13,Zuteilungen!$J$2:$J$200,0))="","",INDEX(Zuteilungen!$A$2:$A$200,MATCH(13,Zuteilungen!$J$2:$J$200,0))),"")</f>
        <v/>
      </c>
      <c r="C17" s="13" t="str">
        <f>IFERROR(IF(INDEX(Zuteilungen!$B$2:$B$200,MATCH(13,Zuteilungen!$J$2:$J$200,0))="","",INDEX(Zuteilungen!$B$2:$B$200,MATCH(13,Zuteilungen!$J$2:$J$200,0))),"")</f>
        <v/>
      </c>
      <c r="D17" s="12" t="str">
        <f>IFERROR(IF(INDEX(Zuteilungen!$C$2:$C$200,MATCH(13,Zuteilungen!$J$2:$J$200,0))="","",INDEX(Zuteilungen!$C$2:$C$200,MATCH(13,Zuteilungen!$J$2:$J$200,0))),"")</f>
        <v/>
      </c>
      <c r="E17" s="12" t="str">
        <f>IFERROR(IF(INDEX(Zuteilungen!$D$2:$D$200,MATCH(13,Zuteilungen!$J$2:$J$200,0))="","",INDEX(Zuteilungen!$D$2:$D$200,MATCH(13,Zuteilungen!$J$2:$J$200,0))),"")</f>
        <v/>
      </c>
      <c r="F17" s="12" t="str">
        <f>IFERROR(IF(INDEX(Zuteilungen!$E$2:$E$200,MATCH(13,Zuteilungen!$J$2:$J$200,0))="","",INDEX(Zuteilungen!$E$2:$E$200,MATCH(13,Zuteilungen!$J$2:$J$200,0))),"")</f>
        <v/>
      </c>
      <c r="G17" s="34" t="str">
        <f>IFERROR(IF(INDEX(Zuteilungen!$F$2:$F$200,MATCH(13,Zuteilungen!$J$2:$J$200,0))="","",INDEX(Zuteilungen!$F$2:$F$200,MATCH(13,Zuteilungen!$J$2:$J$200,0))),"")</f>
        <v/>
      </c>
      <c r="H17" s="60" t="str">
        <f>IFERROR(IF(INDEX(Zuteilungen!$H$2:$H$200,MATCH(13,Zuteilungen!$J$2:$J$200,0))="","",INDEX(Zuteilungen!$H$2:$H$200,MATCH(13,Zuteilungen!$J$2:$J$200,0))),"")</f>
        <v/>
      </c>
      <c r="I17" s="61" t="str">
        <f>IFERROR(IF(INDEX(Zuteilungen!$I$2:$I$200,MATCH(13,Zuteilungen!$J$2:$J$200,0))="","",INDEX(Zuteilungen!$I$2:$I$200,MATCH(13,Zuteilungen!$J$2:$J$200,0))),"")</f>
        <v/>
      </c>
    </row>
    <row r="18" spans="1:9" x14ac:dyDescent="0.25">
      <c r="A18" s="30" t="str">
        <f>IFERROR(IF(MATCH(14,Zuteilungen!$J$2:$J$200,0)&gt;0,14,""),"")</f>
        <v/>
      </c>
      <c r="B18" s="30" t="str">
        <f>IFERROR(IF(INDEX(Zuteilungen!$A$2:$A$200,MATCH(14,Zuteilungen!$J$2:$J$200,0))="","",INDEX(Zuteilungen!$A$2:$A$200,MATCH(14,Zuteilungen!$J$2:$J$200,0))),"")</f>
        <v/>
      </c>
      <c r="C18" s="16" t="str">
        <f>IFERROR(IF(INDEX(Zuteilungen!$B$2:$B$200,MATCH(14,Zuteilungen!$J$2:$J$200,0))="","",INDEX(Zuteilungen!$B$2:$B$200,MATCH(14,Zuteilungen!$J$2:$J$200,0))),"")</f>
        <v/>
      </c>
      <c r="D18" s="15" t="str">
        <f>IFERROR(IF(INDEX(Zuteilungen!$C$2:$C$200,MATCH(14,Zuteilungen!$J$2:$J$200,0))="","",INDEX(Zuteilungen!$C$2:$C$200,MATCH(14,Zuteilungen!$J$2:$J$200,0))),"")</f>
        <v/>
      </c>
      <c r="E18" s="15" t="str">
        <f>IFERROR(IF(INDEX(Zuteilungen!$D$2:$D$200,MATCH(14,Zuteilungen!$J$2:$J$200,0))="","",INDEX(Zuteilungen!$D$2:$D$200,MATCH(14,Zuteilungen!$J$2:$J$200,0))),"")</f>
        <v/>
      </c>
      <c r="F18" s="15" t="str">
        <f>IFERROR(IF(INDEX(Zuteilungen!$E$2:$E$200,MATCH(14,Zuteilungen!$J$2:$J$200,0))="","",INDEX(Zuteilungen!$E$2:$E$200,MATCH(14,Zuteilungen!$J$2:$J$200,0))),"")</f>
        <v/>
      </c>
      <c r="G18" s="30" t="str">
        <f>IFERROR(IF(INDEX(Zuteilungen!$F$2:$F$200,MATCH(14,Zuteilungen!$J$2:$J$200,0))="","",INDEX(Zuteilungen!$F$2:$F$200,MATCH(14,Zuteilungen!$J$2:$J$200,0))),"")</f>
        <v/>
      </c>
      <c r="H18" s="62" t="str">
        <f>IFERROR(IF(INDEX(Zuteilungen!$H$2:$H$200,MATCH(14,Zuteilungen!$J$2:$J$200,0))="","",INDEX(Zuteilungen!$H$2:$H$200,MATCH(14,Zuteilungen!$J$2:$J$200,0))),"")</f>
        <v/>
      </c>
      <c r="I18" s="63" t="str">
        <f>IFERROR(IF(INDEX(Zuteilungen!$I$2:$I$200,MATCH(14,Zuteilungen!$J$2:$J$200,0))="","",INDEX(Zuteilungen!$I$2:$I$200,MATCH(14,Zuteilungen!$J$2:$J$200,0))),"")</f>
        <v/>
      </c>
    </row>
    <row r="19" spans="1:9" x14ac:dyDescent="0.25">
      <c r="A19" s="34" t="str">
        <f>IFERROR(IF(MATCH(15,Zuteilungen!$J$2:$J$200,0)&gt;0,15,""),"")</f>
        <v/>
      </c>
      <c r="B19" s="34" t="str">
        <f>IFERROR(IF(INDEX(Zuteilungen!$A$2:$A$200,MATCH(15,Zuteilungen!$J$2:$J$200,0))="","",INDEX(Zuteilungen!$A$2:$A$200,MATCH(15,Zuteilungen!$J$2:$J$200,0))),"")</f>
        <v/>
      </c>
      <c r="C19" s="13" t="str">
        <f>IFERROR(IF(INDEX(Zuteilungen!$B$2:$B$200,MATCH(15,Zuteilungen!$J$2:$J$200,0))="","",INDEX(Zuteilungen!$B$2:$B$200,MATCH(15,Zuteilungen!$J$2:$J$200,0))),"")</f>
        <v/>
      </c>
      <c r="D19" s="12" t="str">
        <f>IFERROR(IF(INDEX(Zuteilungen!$C$2:$C$200,MATCH(15,Zuteilungen!$J$2:$J$200,0))="","",INDEX(Zuteilungen!$C$2:$C$200,MATCH(15,Zuteilungen!$J$2:$J$200,0))),"")</f>
        <v/>
      </c>
      <c r="E19" s="12" t="str">
        <f>IFERROR(IF(INDEX(Zuteilungen!$D$2:$D$200,MATCH(15,Zuteilungen!$J$2:$J$200,0))="","",INDEX(Zuteilungen!$D$2:$D$200,MATCH(15,Zuteilungen!$J$2:$J$200,0))),"")</f>
        <v/>
      </c>
      <c r="F19" s="12" t="str">
        <f>IFERROR(IF(INDEX(Zuteilungen!$E$2:$E$200,MATCH(15,Zuteilungen!$J$2:$J$200,0))="","",INDEX(Zuteilungen!$E$2:$E$200,MATCH(15,Zuteilungen!$J$2:$J$200,0))),"")</f>
        <v/>
      </c>
      <c r="G19" s="34" t="str">
        <f>IFERROR(IF(INDEX(Zuteilungen!$F$2:$F$200,MATCH(15,Zuteilungen!$J$2:$J$200,0))="","",INDEX(Zuteilungen!$F$2:$F$200,MATCH(15,Zuteilungen!$J$2:$J$200,0))),"")</f>
        <v/>
      </c>
      <c r="H19" s="60" t="str">
        <f>IFERROR(IF(INDEX(Zuteilungen!$H$2:$H$200,MATCH(15,Zuteilungen!$J$2:$J$200,0))="","",INDEX(Zuteilungen!$H$2:$H$200,MATCH(15,Zuteilungen!$J$2:$J$200,0))),"")</f>
        <v/>
      </c>
      <c r="I19" s="61" t="str">
        <f>IFERROR(IF(INDEX(Zuteilungen!$I$2:$I$200,MATCH(15,Zuteilungen!$J$2:$J$200,0))="","",INDEX(Zuteilungen!$I$2:$I$200,MATCH(15,Zuteilungen!$J$2:$J$200,0))),"")</f>
        <v/>
      </c>
    </row>
    <row r="20" spans="1:9" x14ac:dyDescent="0.25">
      <c r="A20" s="30" t="str">
        <f>IFERROR(IF(MATCH(16,Zuteilungen!$J$2:$J$200,0)&gt;0,16,""),"")</f>
        <v/>
      </c>
      <c r="B20" s="30" t="str">
        <f>IFERROR(IF(INDEX(Zuteilungen!$A$2:$A$200,MATCH(16,Zuteilungen!$J$2:$J$200,0))="","",INDEX(Zuteilungen!$A$2:$A$200,MATCH(16,Zuteilungen!$J$2:$J$200,0))),"")</f>
        <v/>
      </c>
      <c r="C20" s="16" t="str">
        <f>IFERROR(IF(INDEX(Zuteilungen!$B$2:$B$200,MATCH(16,Zuteilungen!$J$2:$J$200,0))="","",INDEX(Zuteilungen!$B$2:$B$200,MATCH(16,Zuteilungen!$J$2:$J$200,0))),"")</f>
        <v/>
      </c>
      <c r="D20" s="15" t="str">
        <f>IFERROR(IF(INDEX(Zuteilungen!$C$2:$C$200,MATCH(16,Zuteilungen!$J$2:$J$200,0))="","",INDEX(Zuteilungen!$C$2:$C$200,MATCH(16,Zuteilungen!$J$2:$J$200,0))),"")</f>
        <v/>
      </c>
      <c r="E20" s="15" t="str">
        <f>IFERROR(IF(INDEX(Zuteilungen!$D$2:$D$200,MATCH(16,Zuteilungen!$J$2:$J$200,0))="","",INDEX(Zuteilungen!$D$2:$D$200,MATCH(16,Zuteilungen!$J$2:$J$200,0))),"")</f>
        <v/>
      </c>
      <c r="F20" s="15" t="str">
        <f>IFERROR(IF(INDEX(Zuteilungen!$E$2:$E$200,MATCH(16,Zuteilungen!$J$2:$J$200,0))="","",INDEX(Zuteilungen!$E$2:$E$200,MATCH(16,Zuteilungen!$J$2:$J$200,0))),"")</f>
        <v/>
      </c>
      <c r="G20" s="30" t="str">
        <f>IFERROR(IF(INDEX(Zuteilungen!$F$2:$F$200,MATCH(16,Zuteilungen!$J$2:$J$200,0))="","",INDEX(Zuteilungen!$F$2:$F$200,MATCH(16,Zuteilungen!$J$2:$J$200,0))),"")</f>
        <v/>
      </c>
      <c r="H20" s="62" t="str">
        <f>IFERROR(IF(INDEX(Zuteilungen!$H$2:$H$200,MATCH(16,Zuteilungen!$J$2:$J$200,0))="","",INDEX(Zuteilungen!$H$2:$H$200,MATCH(16,Zuteilungen!$J$2:$J$200,0))),"")</f>
        <v/>
      </c>
      <c r="I20" s="63" t="str">
        <f>IFERROR(IF(INDEX(Zuteilungen!$I$2:$I$200,MATCH(16,Zuteilungen!$J$2:$J$200,0))="","",INDEX(Zuteilungen!$I$2:$I$200,MATCH(16,Zuteilungen!$J$2:$J$200,0))),"")</f>
        <v/>
      </c>
    </row>
    <row r="21" spans="1:9" x14ac:dyDescent="0.25">
      <c r="A21" s="34" t="str">
        <f>IFERROR(IF(MATCH(17,Zuteilungen!$J$2:$J$200,0)&gt;0,17,""),"")</f>
        <v/>
      </c>
      <c r="B21" s="34" t="str">
        <f>IFERROR(IF(INDEX(Zuteilungen!$A$2:$A$200,MATCH(17,Zuteilungen!$J$2:$J$200,0))="","",INDEX(Zuteilungen!$A$2:$A$200,MATCH(17,Zuteilungen!$J$2:$J$200,0))),"")</f>
        <v/>
      </c>
      <c r="C21" s="13" t="str">
        <f>IFERROR(IF(INDEX(Zuteilungen!$B$2:$B$200,MATCH(17,Zuteilungen!$J$2:$J$200,0))="","",INDEX(Zuteilungen!$B$2:$B$200,MATCH(17,Zuteilungen!$J$2:$J$200,0))),"")</f>
        <v/>
      </c>
      <c r="D21" s="12" t="str">
        <f>IFERROR(IF(INDEX(Zuteilungen!$C$2:$C$200,MATCH(17,Zuteilungen!$J$2:$J$200,0))="","",INDEX(Zuteilungen!$C$2:$C$200,MATCH(17,Zuteilungen!$J$2:$J$200,0))),"")</f>
        <v/>
      </c>
      <c r="E21" s="12" t="str">
        <f>IFERROR(IF(INDEX(Zuteilungen!$D$2:$D$200,MATCH(17,Zuteilungen!$J$2:$J$200,0))="","",INDEX(Zuteilungen!$D$2:$D$200,MATCH(17,Zuteilungen!$J$2:$J$200,0))),"")</f>
        <v/>
      </c>
      <c r="F21" s="12" t="str">
        <f>IFERROR(IF(INDEX(Zuteilungen!$E$2:$E$200,MATCH(17,Zuteilungen!$J$2:$J$200,0))="","",INDEX(Zuteilungen!$E$2:$E$200,MATCH(17,Zuteilungen!$J$2:$J$200,0))),"")</f>
        <v/>
      </c>
      <c r="G21" s="34" t="str">
        <f>IFERROR(IF(INDEX(Zuteilungen!$F$2:$F$200,MATCH(17,Zuteilungen!$J$2:$J$200,0))="","",INDEX(Zuteilungen!$F$2:$F$200,MATCH(17,Zuteilungen!$J$2:$J$200,0))),"")</f>
        <v/>
      </c>
      <c r="H21" s="60" t="str">
        <f>IFERROR(IF(INDEX(Zuteilungen!$H$2:$H$200,MATCH(17,Zuteilungen!$J$2:$J$200,0))="","",INDEX(Zuteilungen!$H$2:$H$200,MATCH(17,Zuteilungen!$J$2:$J$200,0))),"")</f>
        <v/>
      </c>
      <c r="I21" s="61" t="str">
        <f>IFERROR(IF(INDEX(Zuteilungen!$I$2:$I$200,MATCH(17,Zuteilungen!$J$2:$J$200,0))="","",INDEX(Zuteilungen!$I$2:$I$200,MATCH(17,Zuteilungen!$J$2:$J$200,0))),"")</f>
        <v/>
      </c>
    </row>
    <row r="22" spans="1:9" x14ac:dyDescent="0.25">
      <c r="A22" s="30" t="str">
        <f>IFERROR(IF(MATCH(18,Zuteilungen!$J$2:$J$200,0)&gt;0,18,""),"")</f>
        <v/>
      </c>
      <c r="B22" s="30" t="str">
        <f>IFERROR(IF(INDEX(Zuteilungen!$A$2:$A$200,MATCH(18,Zuteilungen!$J$2:$J$200,0))="","",INDEX(Zuteilungen!$A$2:$A$200,MATCH(18,Zuteilungen!$J$2:$J$200,0))),"")</f>
        <v/>
      </c>
      <c r="C22" s="16" t="str">
        <f>IFERROR(IF(INDEX(Zuteilungen!$B$2:$B$200,MATCH(18,Zuteilungen!$J$2:$J$200,0))="","",INDEX(Zuteilungen!$B$2:$B$200,MATCH(18,Zuteilungen!$J$2:$J$200,0))),"")</f>
        <v/>
      </c>
      <c r="D22" s="15" t="str">
        <f>IFERROR(IF(INDEX(Zuteilungen!$C$2:$C$200,MATCH(18,Zuteilungen!$J$2:$J$200,0))="","",INDEX(Zuteilungen!$C$2:$C$200,MATCH(18,Zuteilungen!$J$2:$J$200,0))),"")</f>
        <v/>
      </c>
      <c r="E22" s="15" t="str">
        <f>IFERROR(IF(INDEX(Zuteilungen!$D$2:$D$200,MATCH(18,Zuteilungen!$J$2:$J$200,0))="","",INDEX(Zuteilungen!$D$2:$D$200,MATCH(18,Zuteilungen!$J$2:$J$200,0))),"")</f>
        <v/>
      </c>
      <c r="F22" s="15" t="str">
        <f>IFERROR(IF(INDEX(Zuteilungen!$E$2:$E$200,MATCH(18,Zuteilungen!$J$2:$J$200,0))="","",INDEX(Zuteilungen!$E$2:$E$200,MATCH(18,Zuteilungen!$J$2:$J$200,0))),"")</f>
        <v/>
      </c>
      <c r="G22" s="30" t="str">
        <f>IFERROR(IF(INDEX(Zuteilungen!$F$2:$F$200,MATCH(18,Zuteilungen!$J$2:$J$200,0))="","",INDEX(Zuteilungen!$F$2:$F$200,MATCH(18,Zuteilungen!$J$2:$J$200,0))),"")</f>
        <v/>
      </c>
      <c r="H22" s="62" t="str">
        <f>IFERROR(IF(INDEX(Zuteilungen!$H$2:$H$200,MATCH(18,Zuteilungen!$J$2:$J$200,0))="","",INDEX(Zuteilungen!$H$2:$H$200,MATCH(18,Zuteilungen!$J$2:$J$200,0))),"")</f>
        <v/>
      </c>
      <c r="I22" s="63" t="str">
        <f>IFERROR(IF(INDEX(Zuteilungen!$I$2:$I$200,MATCH(18,Zuteilungen!$J$2:$J$200,0))="","",INDEX(Zuteilungen!$I$2:$I$200,MATCH(18,Zuteilungen!$J$2:$J$200,0))),"")</f>
        <v/>
      </c>
    </row>
    <row r="23" spans="1:9" x14ac:dyDescent="0.25">
      <c r="A23" s="34" t="str">
        <f>IFERROR(IF(MATCH(19,Zuteilungen!$J$2:$J$200,0)&gt;0,19,""),"")</f>
        <v/>
      </c>
      <c r="B23" s="34" t="str">
        <f>IFERROR(IF(INDEX(Zuteilungen!$A$2:$A$200,MATCH(19,Zuteilungen!$J$2:$J$200,0))="","",INDEX(Zuteilungen!$A$2:$A$200,MATCH(19,Zuteilungen!$J$2:$J$200,0))),"")</f>
        <v/>
      </c>
      <c r="C23" s="13" t="str">
        <f>IFERROR(IF(INDEX(Zuteilungen!$B$2:$B$200,MATCH(19,Zuteilungen!$J$2:$J$200,0))="","",INDEX(Zuteilungen!$B$2:$B$200,MATCH(19,Zuteilungen!$J$2:$J$200,0))),"")</f>
        <v/>
      </c>
      <c r="D23" s="12" t="str">
        <f>IFERROR(IF(INDEX(Zuteilungen!$C$2:$C$200,MATCH(19,Zuteilungen!$J$2:$J$200,0))="","",INDEX(Zuteilungen!$C$2:$C$200,MATCH(19,Zuteilungen!$J$2:$J$200,0))),"")</f>
        <v/>
      </c>
      <c r="E23" s="12" t="str">
        <f>IFERROR(IF(INDEX(Zuteilungen!$D$2:$D$200,MATCH(19,Zuteilungen!$J$2:$J$200,0))="","",INDEX(Zuteilungen!$D$2:$D$200,MATCH(19,Zuteilungen!$J$2:$J$200,0))),"")</f>
        <v/>
      </c>
      <c r="F23" s="12" t="str">
        <f>IFERROR(IF(INDEX(Zuteilungen!$E$2:$E$200,MATCH(19,Zuteilungen!$J$2:$J$200,0))="","",INDEX(Zuteilungen!$E$2:$E$200,MATCH(19,Zuteilungen!$J$2:$J$200,0))),"")</f>
        <v/>
      </c>
      <c r="G23" s="34" t="str">
        <f>IFERROR(IF(INDEX(Zuteilungen!$F$2:$F$200,MATCH(19,Zuteilungen!$J$2:$J$200,0))="","",INDEX(Zuteilungen!$F$2:$F$200,MATCH(19,Zuteilungen!$J$2:$J$200,0))),"")</f>
        <v/>
      </c>
      <c r="H23" s="60" t="str">
        <f>IFERROR(IF(INDEX(Zuteilungen!$H$2:$H$200,MATCH(19,Zuteilungen!$J$2:$J$200,0))="","",INDEX(Zuteilungen!$H$2:$H$200,MATCH(19,Zuteilungen!$J$2:$J$200,0))),"")</f>
        <v/>
      </c>
      <c r="I23" s="61" t="str">
        <f>IFERROR(IF(INDEX(Zuteilungen!$I$2:$I$200,MATCH(19,Zuteilungen!$J$2:$J$200,0))="","",INDEX(Zuteilungen!$I$2:$I$200,MATCH(19,Zuteilungen!$J$2:$J$200,0))),"")</f>
        <v/>
      </c>
    </row>
    <row r="24" spans="1:9" x14ac:dyDescent="0.25">
      <c r="A24" s="30" t="str">
        <f>IFERROR(IF(MATCH(20,Zuteilungen!$J$2:$J$200,0)&gt;0,20,""),"")</f>
        <v/>
      </c>
      <c r="B24" s="30" t="str">
        <f>IFERROR(IF(INDEX(Zuteilungen!$A$2:$A$200,MATCH(20,Zuteilungen!$J$2:$J$200,0))="","",INDEX(Zuteilungen!$A$2:$A$200,MATCH(20,Zuteilungen!$J$2:$J$200,0))),"")</f>
        <v/>
      </c>
      <c r="C24" s="16" t="str">
        <f>IFERROR(IF(INDEX(Zuteilungen!$B$2:$B$200,MATCH(20,Zuteilungen!$J$2:$J$200,0))="","",INDEX(Zuteilungen!$B$2:$B$200,MATCH(20,Zuteilungen!$J$2:$J$200,0))),"")</f>
        <v/>
      </c>
      <c r="D24" s="15" t="str">
        <f>IFERROR(IF(INDEX(Zuteilungen!$C$2:$C$200,MATCH(20,Zuteilungen!$J$2:$J$200,0))="","",INDEX(Zuteilungen!$C$2:$C$200,MATCH(20,Zuteilungen!$J$2:$J$200,0))),"")</f>
        <v/>
      </c>
      <c r="E24" s="15" t="str">
        <f>IFERROR(IF(INDEX(Zuteilungen!$D$2:$D$200,MATCH(20,Zuteilungen!$J$2:$J$200,0))="","",INDEX(Zuteilungen!$D$2:$D$200,MATCH(20,Zuteilungen!$J$2:$J$200,0))),"")</f>
        <v/>
      </c>
      <c r="F24" s="15" t="str">
        <f>IFERROR(IF(INDEX(Zuteilungen!$E$2:$E$200,MATCH(20,Zuteilungen!$J$2:$J$200,0))="","",INDEX(Zuteilungen!$E$2:$E$200,MATCH(20,Zuteilungen!$J$2:$J$200,0))),"")</f>
        <v/>
      </c>
      <c r="G24" s="30" t="str">
        <f>IFERROR(IF(INDEX(Zuteilungen!$F$2:$F$200,MATCH(20,Zuteilungen!$J$2:$J$200,0))="","",INDEX(Zuteilungen!$F$2:$F$200,MATCH(20,Zuteilungen!$J$2:$J$200,0))),"")</f>
        <v/>
      </c>
      <c r="H24" s="62" t="str">
        <f>IFERROR(IF(INDEX(Zuteilungen!$H$2:$H$200,MATCH(20,Zuteilungen!$J$2:$J$200,0))="","",INDEX(Zuteilungen!$H$2:$H$200,MATCH(20,Zuteilungen!$J$2:$J$200,0))),"")</f>
        <v/>
      </c>
      <c r="I24" s="63" t="str">
        <f>IFERROR(IF(INDEX(Zuteilungen!$I$2:$I$200,MATCH(20,Zuteilungen!$J$2:$J$200,0))="","",INDEX(Zuteilungen!$I$2:$I$200,MATCH(20,Zuteilungen!$J$2:$J$200,0))),"")</f>
        <v/>
      </c>
    </row>
    <row r="25" spans="1:9" x14ac:dyDescent="0.25">
      <c r="A25" s="34" t="str">
        <f>IFERROR(IF(MATCH(21,Zuteilungen!$J$2:$J$200,0)&gt;0,21,""),"")</f>
        <v/>
      </c>
      <c r="B25" s="34" t="str">
        <f>IFERROR(IF(INDEX(Zuteilungen!$A$2:$A$200,MATCH(21,Zuteilungen!$J$2:$J$200,0))="","",INDEX(Zuteilungen!$A$2:$A$200,MATCH(21,Zuteilungen!$J$2:$J$200,0))),"")</f>
        <v/>
      </c>
      <c r="C25" s="13" t="str">
        <f>IFERROR(IF(INDEX(Zuteilungen!$B$2:$B$200,MATCH(21,Zuteilungen!$J$2:$J$200,0))="","",INDEX(Zuteilungen!$B$2:$B$200,MATCH(21,Zuteilungen!$J$2:$J$200,0))),"")</f>
        <v/>
      </c>
      <c r="D25" s="12" t="str">
        <f>IFERROR(IF(INDEX(Zuteilungen!$C$2:$C$200,MATCH(21,Zuteilungen!$J$2:$J$200,0))="","",INDEX(Zuteilungen!$C$2:$C$200,MATCH(21,Zuteilungen!$J$2:$J$200,0))),"")</f>
        <v/>
      </c>
      <c r="E25" s="12" t="str">
        <f>IFERROR(IF(INDEX(Zuteilungen!$D$2:$D$200,MATCH(21,Zuteilungen!$J$2:$J$200,0))="","",INDEX(Zuteilungen!$D$2:$D$200,MATCH(21,Zuteilungen!$J$2:$J$200,0))),"")</f>
        <v/>
      </c>
      <c r="F25" s="12" t="str">
        <f>IFERROR(IF(INDEX(Zuteilungen!$E$2:$E$200,MATCH(21,Zuteilungen!$J$2:$J$200,0))="","",INDEX(Zuteilungen!$E$2:$E$200,MATCH(21,Zuteilungen!$J$2:$J$200,0))),"")</f>
        <v/>
      </c>
      <c r="G25" s="34" t="str">
        <f>IFERROR(IF(INDEX(Zuteilungen!$F$2:$F$200,MATCH(21,Zuteilungen!$J$2:$J$200,0))="","",INDEX(Zuteilungen!$F$2:$F$200,MATCH(21,Zuteilungen!$J$2:$J$200,0))),"")</f>
        <v/>
      </c>
      <c r="H25" s="60" t="str">
        <f>IFERROR(IF(INDEX(Zuteilungen!$H$2:$H$200,MATCH(21,Zuteilungen!$J$2:$J$200,0))="","",INDEX(Zuteilungen!$H$2:$H$200,MATCH(21,Zuteilungen!$J$2:$J$200,0))),"")</f>
        <v/>
      </c>
      <c r="I25" s="61" t="str">
        <f>IFERROR(IF(INDEX(Zuteilungen!$I$2:$I$200,MATCH(21,Zuteilungen!$J$2:$J$200,0))="","",INDEX(Zuteilungen!$I$2:$I$200,MATCH(21,Zuteilungen!$J$2:$J$200,0))),"")</f>
        <v/>
      </c>
    </row>
    <row r="26" spans="1:9" x14ac:dyDescent="0.25">
      <c r="A26" s="30" t="str">
        <f>IFERROR(IF(MATCH(22,Zuteilungen!$J$2:$J$200,0)&gt;0,22,""),"")</f>
        <v/>
      </c>
      <c r="B26" s="30" t="str">
        <f>IFERROR(IF(INDEX(Zuteilungen!$A$2:$A$200,MATCH(22,Zuteilungen!$J$2:$J$200,0))="","",INDEX(Zuteilungen!$A$2:$A$200,MATCH(22,Zuteilungen!$J$2:$J$200,0))),"")</f>
        <v/>
      </c>
      <c r="C26" s="16" t="str">
        <f>IFERROR(IF(INDEX(Zuteilungen!$B$2:$B$200,MATCH(22,Zuteilungen!$J$2:$J$200,0))="","",INDEX(Zuteilungen!$B$2:$B$200,MATCH(22,Zuteilungen!$J$2:$J$200,0))),"")</f>
        <v/>
      </c>
      <c r="D26" s="15" t="str">
        <f>IFERROR(IF(INDEX(Zuteilungen!$C$2:$C$200,MATCH(22,Zuteilungen!$J$2:$J$200,0))="","",INDEX(Zuteilungen!$C$2:$C$200,MATCH(22,Zuteilungen!$J$2:$J$200,0))),"")</f>
        <v/>
      </c>
      <c r="E26" s="15" t="str">
        <f>IFERROR(IF(INDEX(Zuteilungen!$D$2:$D$200,MATCH(22,Zuteilungen!$J$2:$J$200,0))="","",INDEX(Zuteilungen!$D$2:$D$200,MATCH(22,Zuteilungen!$J$2:$J$200,0))),"")</f>
        <v/>
      </c>
      <c r="F26" s="15" t="str">
        <f>IFERROR(IF(INDEX(Zuteilungen!$E$2:$E$200,MATCH(22,Zuteilungen!$J$2:$J$200,0))="","",INDEX(Zuteilungen!$E$2:$E$200,MATCH(22,Zuteilungen!$J$2:$J$200,0))),"")</f>
        <v/>
      </c>
      <c r="G26" s="30" t="str">
        <f>IFERROR(IF(INDEX(Zuteilungen!$F$2:$F$200,MATCH(22,Zuteilungen!$J$2:$J$200,0))="","",INDEX(Zuteilungen!$F$2:$F$200,MATCH(22,Zuteilungen!$J$2:$J$200,0))),"")</f>
        <v/>
      </c>
      <c r="H26" s="62" t="str">
        <f>IFERROR(IF(INDEX(Zuteilungen!$H$2:$H$200,MATCH(22,Zuteilungen!$J$2:$J$200,0))="","",INDEX(Zuteilungen!$H$2:$H$200,MATCH(22,Zuteilungen!$J$2:$J$200,0))),"")</f>
        <v/>
      </c>
      <c r="I26" s="63" t="str">
        <f>IFERROR(IF(INDEX(Zuteilungen!$I$2:$I$200,MATCH(22,Zuteilungen!$J$2:$J$200,0))="","",INDEX(Zuteilungen!$I$2:$I$200,MATCH(22,Zuteilungen!$J$2:$J$200,0))),"")</f>
        <v/>
      </c>
    </row>
    <row r="27" spans="1:9" x14ac:dyDescent="0.25">
      <c r="A27" s="34" t="str">
        <f>IFERROR(IF(MATCH(23,Zuteilungen!$J$2:$J$200,0)&gt;0,23,""),"")</f>
        <v/>
      </c>
      <c r="B27" s="34" t="str">
        <f>IFERROR(IF(INDEX(Zuteilungen!$A$2:$A$200,MATCH(23,Zuteilungen!$J$2:$J$200,0))="","",INDEX(Zuteilungen!$A$2:$A$200,MATCH(23,Zuteilungen!$J$2:$J$200,0))),"")</f>
        <v/>
      </c>
      <c r="C27" s="13" t="str">
        <f>IFERROR(IF(INDEX(Zuteilungen!$B$2:$B$200,MATCH(23,Zuteilungen!$J$2:$J$200,0))="","",INDEX(Zuteilungen!$B$2:$B$200,MATCH(23,Zuteilungen!$J$2:$J$200,0))),"")</f>
        <v/>
      </c>
      <c r="D27" s="12" t="str">
        <f>IFERROR(IF(INDEX(Zuteilungen!$C$2:$C$200,MATCH(23,Zuteilungen!$J$2:$J$200,0))="","",INDEX(Zuteilungen!$C$2:$C$200,MATCH(23,Zuteilungen!$J$2:$J$200,0))),"")</f>
        <v/>
      </c>
      <c r="E27" s="12" t="str">
        <f>IFERROR(IF(INDEX(Zuteilungen!$D$2:$D$200,MATCH(23,Zuteilungen!$J$2:$J$200,0))="","",INDEX(Zuteilungen!$D$2:$D$200,MATCH(23,Zuteilungen!$J$2:$J$200,0))),"")</f>
        <v/>
      </c>
      <c r="F27" s="12" t="str">
        <f>IFERROR(IF(INDEX(Zuteilungen!$E$2:$E$200,MATCH(23,Zuteilungen!$J$2:$J$200,0))="","",INDEX(Zuteilungen!$E$2:$E$200,MATCH(23,Zuteilungen!$J$2:$J$200,0))),"")</f>
        <v/>
      </c>
      <c r="G27" s="34" t="str">
        <f>IFERROR(IF(INDEX(Zuteilungen!$F$2:$F$200,MATCH(23,Zuteilungen!$J$2:$J$200,0))="","",INDEX(Zuteilungen!$F$2:$F$200,MATCH(23,Zuteilungen!$J$2:$J$200,0))),"")</f>
        <v/>
      </c>
      <c r="H27" s="60" t="str">
        <f>IFERROR(IF(INDEX(Zuteilungen!$H$2:$H$200,MATCH(23,Zuteilungen!$J$2:$J$200,0))="","",INDEX(Zuteilungen!$H$2:$H$200,MATCH(23,Zuteilungen!$J$2:$J$200,0))),"")</f>
        <v/>
      </c>
      <c r="I27" s="61" t="str">
        <f>IFERROR(IF(INDEX(Zuteilungen!$I$2:$I$200,MATCH(23,Zuteilungen!$J$2:$J$200,0))="","",INDEX(Zuteilungen!$I$2:$I$200,MATCH(23,Zuteilungen!$J$2:$J$200,0))),"")</f>
        <v/>
      </c>
    </row>
    <row r="28" spans="1:9" x14ac:dyDescent="0.25">
      <c r="A28" s="30" t="str">
        <f>IFERROR(IF(MATCH(24,Zuteilungen!$J$2:$J$200,0)&gt;0,24,""),"")</f>
        <v/>
      </c>
      <c r="B28" s="30" t="str">
        <f>IFERROR(IF(INDEX(Zuteilungen!$A$2:$A$200,MATCH(24,Zuteilungen!$J$2:$J$200,0))="","",INDEX(Zuteilungen!$A$2:$A$200,MATCH(24,Zuteilungen!$J$2:$J$200,0))),"")</f>
        <v/>
      </c>
      <c r="C28" s="16" t="str">
        <f>IFERROR(IF(INDEX(Zuteilungen!$B$2:$B$200,MATCH(24,Zuteilungen!$J$2:$J$200,0))="","",INDEX(Zuteilungen!$B$2:$B$200,MATCH(24,Zuteilungen!$J$2:$J$200,0))),"")</f>
        <v/>
      </c>
      <c r="D28" s="15" t="str">
        <f>IFERROR(IF(INDEX(Zuteilungen!$C$2:$C$200,MATCH(24,Zuteilungen!$J$2:$J$200,0))="","",INDEX(Zuteilungen!$C$2:$C$200,MATCH(24,Zuteilungen!$J$2:$J$200,0))),"")</f>
        <v/>
      </c>
      <c r="E28" s="15" t="str">
        <f>IFERROR(IF(INDEX(Zuteilungen!$D$2:$D$200,MATCH(24,Zuteilungen!$J$2:$J$200,0))="","",INDEX(Zuteilungen!$D$2:$D$200,MATCH(24,Zuteilungen!$J$2:$J$200,0))),"")</f>
        <v/>
      </c>
      <c r="F28" s="15" t="str">
        <f>IFERROR(IF(INDEX(Zuteilungen!$E$2:$E$200,MATCH(24,Zuteilungen!$J$2:$J$200,0))="","",INDEX(Zuteilungen!$E$2:$E$200,MATCH(24,Zuteilungen!$J$2:$J$200,0))),"")</f>
        <v/>
      </c>
      <c r="G28" s="30" t="str">
        <f>IFERROR(IF(INDEX(Zuteilungen!$F$2:$F$200,MATCH(24,Zuteilungen!$J$2:$J$200,0))="","",INDEX(Zuteilungen!$F$2:$F$200,MATCH(24,Zuteilungen!$J$2:$J$200,0))),"")</f>
        <v/>
      </c>
      <c r="H28" s="62" t="str">
        <f>IFERROR(IF(INDEX(Zuteilungen!$H$2:$H$200,MATCH(24,Zuteilungen!$J$2:$J$200,0))="","",INDEX(Zuteilungen!$H$2:$H$200,MATCH(24,Zuteilungen!$J$2:$J$200,0))),"")</f>
        <v/>
      </c>
      <c r="I28" s="63" t="str">
        <f>IFERROR(IF(INDEX(Zuteilungen!$I$2:$I$200,MATCH(24,Zuteilungen!$J$2:$J$200,0))="","",INDEX(Zuteilungen!$I$2:$I$200,MATCH(24,Zuteilungen!$J$2:$J$200,0))),"")</f>
        <v/>
      </c>
    </row>
    <row r="29" spans="1:9" x14ac:dyDescent="0.25">
      <c r="A29" s="34" t="str">
        <f>IFERROR(IF(MATCH(25,Zuteilungen!$J$2:$J$200,0)&gt;0,25,""),"")</f>
        <v/>
      </c>
      <c r="B29" s="34" t="str">
        <f>IFERROR(IF(INDEX(Zuteilungen!$A$2:$A$200,MATCH(25,Zuteilungen!$J$2:$J$200,0))="","",INDEX(Zuteilungen!$A$2:$A$200,MATCH(25,Zuteilungen!$J$2:$J$200,0))),"")</f>
        <v/>
      </c>
      <c r="C29" s="13" t="str">
        <f>IFERROR(IF(INDEX(Zuteilungen!$B$2:$B$200,MATCH(25,Zuteilungen!$J$2:$J$200,0))="","",INDEX(Zuteilungen!$B$2:$B$200,MATCH(25,Zuteilungen!$J$2:$J$200,0))),"")</f>
        <v/>
      </c>
      <c r="D29" s="12" t="str">
        <f>IFERROR(IF(INDEX(Zuteilungen!$C$2:$C$200,MATCH(25,Zuteilungen!$J$2:$J$200,0))="","",INDEX(Zuteilungen!$C$2:$C$200,MATCH(25,Zuteilungen!$J$2:$J$200,0))),"")</f>
        <v/>
      </c>
      <c r="E29" s="12" t="str">
        <f>IFERROR(IF(INDEX(Zuteilungen!$D$2:$D$200,MATCH(25,Zuteilungen!$J$2:$J$200,0))="","",INDEX(Zuteilungen!$D$2:$D$200,MATCH(25,Zuteilungen!$J$2:$J$200,0))),"")</f>
        <v/>
      </c>
      <c r="F29" s="12" t="str">
        <f>IFERROR(IF(INDEX(Zuteilungen!$E$2:$E$200,MATCH(25,Zuteilungen!$J$2:$J$200,0))="","",INDEX(Zuteilungen!$E$2:$E$200,MATCH(25,Zuteilungen!$J$2:$J$200,0))),"")</f>
        <v/>
      </c>
      <c r="G29" s="34" t="str">
        <f>IFERROR(IF(INDEX(Zuteilungen!$F$2:$F$200,MATCH(25,Zuteilungen!$J$2:$J$200,0))="","",INDEX(Zuteilungen!$F$2:$F$200,MATCH(25,Zuteilungen!$J$2:$J$200,0))),"")</f>
        <v/>
      </c>
      <c r="H29" s="60" t="str">
        <f>IFERROR(IF(INDEX(Zuteilungen!$H$2:$H$200,MATCH(25,Zuteilungen!$J$2:$J$200,0))="","",INDEX(Zuteilungen!$H$2:$H$200,MATCH(25,Zuteilungen!$J$2:$J$200,0))),"")</f>
        <v/>
      </c>
      <c r="I29" s="61" t="str">
        <f>IFERROR(IF(INDEX(Zuteilungen!$I$2:$I$200,MATCH(25,Zuteilungen!$J$2:$J$200,0))="","",INDEX(Zuteilungen!$I$2:$I$200,MATCH(25,Zuteilungen!$J$2:$J$200,0))),"")</f>
        <v/>
      </c>
    </row>
    <row r="30" spans="1:9" x14ac:dyDescent="0.25">
      <c r="A30" s="30" t="str">
        <f>IFERROR(IF(MATCH(26,Zuteilungen!$J$2:$J$200,0)&gt;0,26,""),"")</f>
        <v/>
      </c>
      <c r="B30" s="30" t="str">
        <f>IFERROR(IF(INDEX(Zuteilungen!$A$2:$A$200,MATCH(26,Zuteilungen!$J$2:$J$200,0))="","",INDEX(Zuteilungen!$A$2:$A$200,MATCH(26,Zuteilungen!$J$2:$J$200,0))),"")</f>
        <v/>
      </c>
      <c r="C30" s="16" t="str">
        <f>IFERROR(IF(INDEX(Zuteilungen!$B$2:$B$200,MATCH(26,Zuteilungen!$J$2:$J$200,0))="","",INDEX(Zuteilungen!$B$2:$B$200,MATCH(26,Zuteilungen!$J$2:$J$200,0))),"")</f>
        <v/>
      </c>
      <c r="D30" s="15" t="str">
        <f>IFERROR(IF(INDEX(Zuteilungen!$C$2:$C$200,MATCH(26,Zuteilungen!$J$2:$J$200,0))="","",INDEX(Zuteilungen!$C$2:$C$200,MATCH(26,Zuteilungen!$J$2:$J$200,0))),"")</f>
        <v/>
      </c>
      <c r="E30" s="15" t="str">
        <f>IFERROR(IF(INDEX(Zuteilungen!$D$2:$D$200,MATCH(26,Zuteilungen!$J$2:$J$200,0))="","",INDEX(Zuteilungen!$D$2:$D$200,MATCH(26,Zuteilungen!$J$2:$J$200,0))),"")</f>
        <v/>
      </c>
      <c r="F30" s="15" t="str">
        <f>IFERROR(IF(INDEX(Zuteilungen!$E$2:$E$200,MATCH(26,Zuteilungen!$J$2:$J$200,0))="","",INDEX(Zuteilungen!$E$2:$E$200,MATCH(26,Zuteilungen!$J$2:$J$200,0))),"")</f>
        <v/>
      </c>
      <c r="G30" s="30" t="str">
        <f>IFERROR(IF(INDEX(Zuteilungen!$F$2:$F$200,MATCH(26,Zuteilungen!$J$2:$J$200,0))="","",INDEX(Zuteilungen!$F$2:$F$200,MATCH(26,Zuteilungen!$J$2:$J$200,0))),"")</f>
        <v/>
      </c>
      <c r="H30" s="62" t="str">
        <f>IFERROR(IF(INDEX(Zuteilungen!$H$2:$H$200,MATCH(26,Zuteilungen!$J$2:$J$200,0))="","",INDEX(Zuteilungen!$H$2:$H$200,MATCH(26,Zuteilungen!$J$2:$J$200,0))),"")</f>
        <v/>
      </c>
      <c r="I30" s="63" t="str">
        <f>IFERROR(IF(INDEX(Zuteilungen!$I$2:$I$200,MATCH(26,Zuteilungen!$J$2:$J$200,0))="","",INDEX(Zuteilungen!$I$2:$I$200,MATCH(26,Zuteilungen!$J$2:$J$200,0))),"")</f>
        <v/>
      </c>
    </row>
    <row r="31" spans="1:9" x14ac:dyDescent="0.25">
      <c r="A31" s="34" t="str">
        <f>IFERROR(IF(MATCH(27,Zuteilungen!$J$2:$J$200,0)&gt;0,27,""),"")</f>
        <v/>
      </c>
      <c r="B31" s="34" t="str">
        <f>IFERROR(IF(INDEX(Zuteilungen!$A$2:$A$200,MATCH(27,Zuteilungen!$J$2:$J$200,0))="","",INDEX(Zuteilungen!$A$2:$A$200,MATCH(27,Zuteilungen!$J$2:$J$200,0))),"")</f>
        <v/>
      </c>
      <c r="C31" s="13" t="str">
        <f>IFERROR(IF(INDEX(Zuteilungen!$B$2:$B$200,MATCH(27,Zuteilungen!$J$2:$J$200,0))="","",INDEX(Zuteilungen!$B$2:$B$200,MATCH(27,Zuteilungen!$J$2:$J$200,0))),"")</f>
        <v/>
      </c>
      <c r="D31" s="12" t="str">
        <f>IFERROR(IF(INDEX(Zuteilungen!$C$2:$C$200,MATCH(27,Zuteilungen!$J$2:$J$200,0))="","",INDEX(Zuteilungen!$C$2:$C$200,MATCH(27,Zuteilungen!$J$2:$J$200,0))),"")</f>
        <v/>
      </c>
      <c r="E31" s="12" t="str">
        <f>IFERROR(IF(INDEX(Zuteilungen!$D$2:$D$200,MATCH(27,Zuteilungen!$J$2:$J$200,0))="","",INDEX(Zuteilungen!$D$2:$D$200,MATCH(27,Zuteilungen!$J$2:$J$200,0))),"")</f>
        <v/>
      </c>
      <c r="F31" s="12" t="str">
        <f>IFERROR(IF(INDEX(Zuteilungen!$E$2:$E$200,MATCH(27,Zuteilungen!$J$2:$J$200,0))="","",INDEX(Zuteilungen!$E$2:$E$200,MATCH(27,Zuteilungen!$J$2:$J$200,0))),"")</f>
        <v/>
      </c>
      <c r="G31" s="34" t="str">
        <f>IFERROR(IF(INDEX(Zuteilungen!$F$2:$F$200,MATCH(27,Zuteilungen!$J$2:$J$200,0))="","",INDEX(Zuteilungen!$F$2:$F$200,MATCH(27,Zuteilungen!$J$2:$J$200,0))),"")</f>
        <v/>
      </c>
      <c r="H31" s="60" t="str">
        <f>IFERROR(IF(INDEX(Zuteilungen!$H$2:$H$200,MATCH(27,Zuteilungen!$J$2:$J$200,0))="","",INDEX(Zuteilungen!$H$2:$H$200,MATCH(27,Zuteilungen!$J$2:$J$200,0))),"")</f>
        <v/>
      </c>
      <c r="I31" s="61" t="str">
        <f>IFERROR(IF(INDEX(Zuteilungen!$I$2:$I$200,MATCH(27,Zuteilungen!$J$2:$J$200,0))="","",INDEX(Zuteilungen!$I$2:$I$200,MATCH(27,Zuteilungen!$J$2:$J$200,0))),"")</f>
        <v/>
      </c>
    </row>
    <row r="32" spans="1:9" x14ac:dyDescent="0.25">
      <c r="A32" s="30" t="str">
        <f>IFERROR(IF(MATCH(28,Zuteilungen!$J$2:$J$200,0)&gt;0,28,""),"")</f>
        <v/>
      </c>
      <c r="B32" s="30" t="str">
        <f>IFERROR(IF(INDEX(Zuteilungen!$A$2:$A$200,MATCH(28,Zuteilungen!$J$2:$J$200,0))="","",INDEX(Zuteilungen!$A$2:$A$200,MATCH(28,Zuteilungen!$J$2:$J$200,0))),"")</f>
        <v/>
      </c>
      <c r="C32" s="16" t="str">
        <f>IFERROR(IF(INDEX(Zuteilungen!$B$2:$B$200,MATCH(28,Zuteilungen!$J$2:$J$200,0))="","",INDEX(Zuteilungen!$B$2:$B$200,MATCH(28,Zuteilungen!$J$2:$J$200,0))),"")</f>
        <v/>
      </c>
      <c r="D32" s="15" t="str">
        <f>IFERROR(IF(INDEX(Zuteilungen!$C$2:$C$200,MATCH(28,Zuteilungen!$J$2:$J$200,0))="","",INDEX(Zuteilungen!$C$2:$C$200,MATCH(28,Zuteilungen!$J$2:$J$200,0))),"")</f>
        <v/>
      </c>
      <c r="E32" s="15" t="str">
        <f>IFERROR(IF(INDEX(Zuteilungen!$D$2:$D$200,MATCH(28,Zuteilungen!$J$2:$J$200,0))="","",INDEX(Zuteilungen!$D$2:$D$200,MATCH(28,Zuteilungen!$J$2:$J$200,0))),"")</f>
        <v/>
      </c>
      <c r="F32" s="15" t="str">
        <f>IFERROR(IF(INDEX(Zuteilungen!$E$2:$E$200,MATCH(28,Zuteilungen!$J$2:$J$200,0))="","",INDEX(Zuteilungen!$E$2:$E$200,MATCH(28,Zuteilungen!$J$2:$J$200,0))),"")</f>
        <v/>
      </c>
      <c r="G32" s="30" t="str">
        <f>IFERROR(IF(INDEX(Zuteilungen!$F$2:$F$200,MATCH(28,Zuteilungen!$J$2:$J$200,0))="","",INDEX(Zuteilungen!$F$2:$F$200,MATCH(28,Zuteilungen!$J$2:$J$200,0))),"")</f>
        <v/>
      </c>
      <c r="H32" s="62" t="str">
        <f>IFERROR(IF(INDEX(Zuteilungen!$H$2:$H$200,MATCH(28,Zuteilungen!$J$2:$J$200,0))="","",INDEX(Zuteilungen!$H$2:$H$200,MATCH(28,Zuteilungen!$J$2:$J$200,0))),"")</f>
        <v/>
      </c>
      <c r="I32" s="63" t="str">
        <f>IFERROR(IF(INDEX(Zuteilungen!$I$2:$I$200,MATCH(28,Zuteilungen!$J$2:$J$200,0))="","",INDEX(Zuteilungen!$I$2:$I$200,MATCH(28,Zuteilungen!$J$2:$J$200,0))),"")</f>
        <v/>
      </c>
    </row>
    <row r="33" spans="1:9" x14ac:dyDescent="0.25">
      <c r="A33" s="34" t="str">
        <f>IFERROR(IF(MATCH(29,Zuteilungen!$J$2:$J$200,0)&gt;0,29,""),"")</f>
        <v/>
      </c>
      <c r="B33" s="34" t="str">
        <f>IFERROR(IF(INDEX(Zuteilungen!$A$2:$A$200,MATCH(29,Zuteilungen!$J$2:$J$200,0))="","",INDEX(Zuteilungen!$A$2:$A$200,MATCH(29,Zuteilungen!$J$2:$J$200,0))),"")</f>
        <v/>
      </c>
      <c r="C33" s="13" t="str">
        <f>IFERROR(IF(INDEX(Zuteilungen!$B$2:$B$200,MATCH(29,Zuteilungen!$J$2:$J$200,0))="","",INDEX(Zuteilungen!$B$2:$B$200,MATCH(29,Zuteilungen!$J$2:$J$200,0))),"")</f>
        <v/>
      </c>
      <c r="D33" s="12" t="str">
        <f>IFERROR(IF(INDEX(Zuteilungen!$C$2:$C$200,MATCH(29,Zuteilungen!$J$2:$J$200,0))="","",INDEX(Zuteilungen!$C$2:$C$200,MATCH(29,Zuteilungen!$J$2:$J$200,0))),"")</f>
        <v/>
      </c>
      <c r="E33" s="12" t="str">
        <f>IFERROR(IF(INDEX(Zuteilungen!$D$2:$D$200,MATCH(29,Zuteilungen!$J$2:$J$200,0))="","",INDEX(Zuteilungen!$D$2:$D$200,MATCH(29,Zuteilungen!$J$2:$J$200,0))),"")</f>
        <v/>
      </c>
      <c r="F33" s="12" t="str">
        <f>IFERROR(IF(INDEX(Zuteilungen!$E$2:$E$200,MATCH(29,Zuteilungen!$J$2:$J$200,0))="","",INDEX(Zuteilungen!$E$2:$E$200,MATCH(29,Zuteilungen!$J$2:$J$200,0))),"")</f>
        <v/>
      </c>
      <c r="G33" s="34" t="str">
        <f>IFERROR(IF(INDEX(Zuteilungen!$F$2:$F$200,MATCH(29,Zuteilungen!$J$2:$J$200,0))="","",INDEX(Zuteilungen!$F$2:$F$200,MATCH(29,Zuteilungen!$J$2:$J$200,0))),"")</f>
        <v/>
      </c>
      <c r="H33" s="60" t="str">
        <f>IFERROR(IF(INDEX(Zuteilungen!$H$2:$H$200,MATCH(29,Zuteilungen!$J$2:$J$200,0))="","",INDEX(Zuteilungen!$H$2:$H$200,MATCH(29,Zuteilungen!$J$2:$J$200,0))),"")</f>
        <v/>
      </c>
      <c r="I33" s="61" t="str">
        <f>IFERROR(IF(INDEX(Zuteilungen!$I$2:$I$200,MATCH(29,Zuteilungen!$J$2:$J$200,0))="","",INDEX(Zuteilungen!$I$2:$I$200,MATCH(29,Zuteilungen!$J$2:$J$200,0))),"")</f>
        <v/>
      </c>
    </row>
    <row r="34" spans="1:9" x14ac:dyDescent="0.25">
      <c r="A34" s="30" t="str">
        <f>IFERROR(IF(MATCH(30,Zuteilungen!$J$2:$J$200,0)&gt;0,30,""),"")</f>
        <v/>
      </c>
      <c r="B34" s="30" t="str">
        <f>IFERROR(IF(INDEX(Zuteilungen!$A$2:$A$200,MATCH(30,Zuteilungen!$J$2:$J$200,0))="","",INDEX(Zuteilungen!$A$2:$A$200,MATCH(30,Zuteilungen!$J$2:$J$200,0))),"")</f>
        <v/>
      </c>
      <c r="C34" s="16" t="str">
        <f>IFERROR(IF(INDEX(Zuteilungen!$B$2:$B$200,MATCH(30,Zuteilungen!$J$2:$J$200,0))="","",INDEX(Zuteilungen!$B$2:$B$200,MATCH(30,Zuteilungen!$J$2:$J$200,0))),"")</f>
        <v/>
      </c>
      <c r="D34" s="15" t="str">
        <f>IFERROR(IF(INDEX(Zuteilungen!$C$2:$C$200,MATCH(30,Zuteilungen!$J$2:$J$200,0))="","",INDEX(Zuteilungen!$C$2:$C$200,MATCH(30,Zuteilungen!$J$2:$J$200,0))),"")</f>
        <v/>
      </c>
      <c r="E34" s="15" t="str">
        <f>IFERROR(IF(INDEX(Zuteilungen!$D$2:$D$200,MATCH(30,Zuteilungen!$J$2:$J$200,0))="","",INDEX(Zuteilungen!$D$2:$D$200,MATCH(30,Zuteilungen!$J$2:$J$200,0))),"")</f>
        <v/>
      </c>
      <c r="F34" s="15" t="str">
        <f>IFERROR(IF(INDEX(Zuteilungen!$E$2:$E$200,MATCH(30,Zuteilungen!$J$2:$J$200,0))="","",INDEX(Zuteilungen!$E$2:$E$200,MATCH(30,Zuteilungen!$J$2:$J$200,0))),"")</f>
        <v/>
      </c>
      <c r="G34" s="30" t="str">
        <f>IFERROR(IF(INDEX(Zuteilungen!$F$2:$F$200,MATCH(30,Zuteilungen!$J$2:$J$200,0))="","",INDEX(Zuteilungen!$F$2:$F$200,MATCH(30,Zuteilungen!$J$2:$J$200,0))),"")</f>
        <v/>
      </c>
      <c r="H34" s="62" t="str">
        <f>IFERROR(IF(INDEX(Zuteilungen!$H$2:$H$200,MATCH(30,Zuteilungen!$J$2:$J$200,0))="","",INDEX(Zuteilungen!$H$2:$H$200,MATCH(30,Zuteilungen!$J$2:$J$200,0))),"")</f>
        <v/>
      </c>
      <c r="I34" s="63" t="str">
        <f>IFERROR(IF(INDEX(Zuteilungen!$I$2:$I$200,MATCH(30,Zuteilungen!$J$2:$J$200,0))="","",INDEX(Zuteilungen!$I$2:$I$200,MATCH(30,Zuteilungen!$J$2:$J$200,0))),"")</f>
        <v/>
      </c>
    </row>
    <row r="35" spans="1:9" x14ac:dyDescent="0.25">
      <c r="A35" s="34" t="str">
        <f>IFERROR(IF(MATCH(31,Zuteilungen!$J$2:$J$200,0)&gt;0,31,""),"")</f>
        <v/>
      </c>
      <c r="B35" s="34" t="str">
        <f>IFERROR(IF(INDEX(Zuteilungen!$A$2:$A$200,MATCH(31,Zuteilungen!$J$2:$J$200,0))="","",INDEX(Zuteilungen!$A$2:$A$200,MATCH(31,Zuteilungen!$J$2:$J$200,0))),"")</f>
        <v/>
      </c>
      <c r="C35" s="13" t="str">
        <f>IFERROR(IF(INDEX(Zuteilungen!$B$2:$B$200,MATCH(31,Zuteilungen!$J$2:$J$200,0))="","",INDEX(Zuteilungen!$B$2:$B$200,MATCH(31,Zuteilungen!$J$2:$J$200,0))),"")</f>
        <v/>
      </c>
      <c r="D35" s="12" t="str">
        <f>IFERROR(IF(INDEX(Zuteilungen!$C$2:$C$200,MATCH(31,Zuteilungen!$J$2:$J$200,0))="","",INDEX(Zuteilungen!$C$2:$C$200,MATCH(31,Zuteilungen!$J$2:$J$200,0))),"")</f>
        <v/>
      </c>
      <c r="E35" s="12" t="str">
        <f>IFERROR(IF(INDEX(Zuteilungen!$D$2:$D$200,MATCH(31,Zuteilungen!$J$2:$J$200,0))="","",INDEX(Zuteilungen!$D$2:$D$200,MATCH(31,Zuteilungen!$J$2:$J$200,0))),"")</f>
        <v/>
      </c>
      <c r="F35" s="12" t="str">
        <f>IFERROR(IF(INDEX(Zuteilungen!$E$2:$E$200,MATCH(31,Zuteilungen!$J$2:$J$200,0))="","",INDEX(Zuteilungen!$E$2:$E$200,MATCH(31,Zuteilungen!$J$2:$J$200,0))),"")</f>
        <v/>
      </c>
      <c r="G35" s="34" t="str">
        <f>IFERROR(IF(INDEX(Zuteilungen!$F$2:$F$200,MATCH(31,Zuteilungen!$J$2:$J$200,0))="","",INDEX(Zuteilungen!$F$2:$F$200,MATCH(31,Zuteilungen!$J$2:$J$200,0))),"")</f>
        <v/>
      </c>
      <c r="H35" s="60" t="str">
        <f>IFERROR(IF(INDEX(Zuteilungen!$H$2:$H$200,MATCH(31,Zuteilungen!$J$2:$J$200,0))="","",INDEX(Zuteilungen!$H$2:$H$200,MATCH(31,Zuteilungen!$J$2:$J$200,0))),"")</f>
        <v/>
      </c>
      <c r="I35" s="61" t="str">
        <f>IFERROR(IF(INDEX(Zuteilungen!$I$2:$I$200,MATCH(31,Zuteilungen!$J$2:$J$200,0))="","",INDEX(Zuteilungen!$I$2:$I$200,MATCH(31,Zuteilungen!$J$2:$J$200,0))),"")</f>
        <v/>
      </c>
    </row>
    <row r="36" spans="1:9" x14ac:dyDescent="0.25">
      <c r="A36" s="30" t="str">
        <f>IFERROR(IF(MATCH(32,Zuteilungen!$J$2:$J$200,0)&gt;0,32,""),"")</f>
        <v/>
      </c>
      <c r="B36" s="30" t="str">
        <f>IFERROR(IF(INDEX(Zuteilungen!$A$2:$A$200,MATCH(32,Zuteilungen!$J$2:$J$200,0))="","",INDEX(Zuteilungen!$A$2:$A$200,MATCH(32,Zuteilungen!$J$2:$J$200,0))),"")</f>
        <v/>
      </c>
      <c r="C36" s="16" t="str">
        <f>IFERROR(IF(INDEX(Zuteilungen!$B$2:$B$200,MATCH(32,Zuteilungen!$J$2:$J$200,0))="","",INDEX(Zuteilungen!$B$2:$B$200,MATCH(32,Zuteilungen!$J$2:$J$200,0))),"")</f>
        <v/>
      </c>
      <c r="D36" s="15" t="str">
        <f>IFERROR(IF(INDEX(Zuteilungen!$C$2:$C$200,MATCH(32,Zuteilungen!$J$2:$J$200,0))="","",INDEX(Zuteilungen!$C$2:$C$200,MATCH(32,Zuteilungen!$J$2:$J$200,0))),"")</f>
        <v/>
      </c>
      <c r="E36" s="15" t="str">
        <f>IFERROR(IF(INDEX(Zuteilungen!$D$2:$D$200,MATCH(32,Zuteilungen!$J$2:$J$200,0))="","",INDEX(Zuteilungen!$D$2:$D$200,MATCH(32,Zuteilungen!$J$2:$J$200,0))),"")</f>
        <v/>
      </c>
      <c r="F36" s="15" t="str">
        <f>IFERROR(IF(INDEX(Zuteilungen!$E$2:$E$200,MATCH(32,Zuteilungen!$J$2:$J$200,0))="","",INDEX(Zuteilungen!$E$2:$E$200,MATCH(32,Zuteilungen!$J$2:$J$200,0))),"")</f>
        <v/>
      </c>
      <c r="G36" s="30" t="str">
        <f>IFERROR(IF(INDEX(Zuteilungen!$F$2:$F$200,MATCH(32,Zuteilungen!$J$2:$J$200,0))="","",INDEX(Zuteilungen!$F$2:$F$200,MATCH(32,Zuteilungen!$J$2:$J$200,0))),"")</f>
        <v/>
      </c>
      <c r="H36" s="62" t="str">
        <f>IFERROR(IF(INDEX(Zuteilungen!$H$2:$H$200,MATCH(32,Zuteilungen!$J$2:$J$200,0))="","",INDEX(Zuteilungen!$H$2:$H$200,MATCH(32,Zuteilungen!$J$2:$J$200,0))),"")</f>
        <v/>
      </c>
      <c r="I36" s="63" t="str">
        <f>IFERROR(IF(INDEX(Zuteilungen!$I$2:$I$200,MATCH(32,Zuteilungen!$J$2:$J$200,0))="","",INDEX(Zuteilungen!$I$2:$I$200,MATCH(32,Zuteilungen!$J$2:$J$200,0))),"")</f>
        <v/>
      </c>
    </row>
    <row r="37" spans="1:9" x14ac:dyDescent="0.25">
      <c r="A37" s="34" t="str">
        <f>IFERROR(IF(MATCH(33,Zuteilungen!$J$2:$J$200,0)&gt;0,33,""),"")</f>
        <v/>
      </c>
      <c r="B37" s="34" t="str">
        <f>IFERROR(IF(INDEX(Zuteilungen!$A$2:$A$200,MATCH(33,Zuteilungen!$J$2:$J$200,0))="","",INDEX(Zuteilungen!$A$2:$A$200,MATCH(33,Zuteilungen!$J$2:$J$200,0))),"")</f>
        <v/>
      </c>
      <c r="C37" s="13" t="str">
        <f>IFERROR(IF(INDEX(Zuteilungen!$B$2:$B$200,MATCH(33,Zuteilungen!$J$2:$J$200,0))="","",INDEX(Zuteilungen!$B$2:$B$200,MATCH(33,Zuteilungen!$J$2:$J$200,0))),"")</f>
        <v/>
      </c>
      <c r="D37" s="12" t="str">
        <f>IFERROR(IF(INDEX(Zuteilungen!$C$2:$C$200,MATCH(33,Zuteilungen!$J$2:$J$200,0))="","",INDEX(Zuteilungen!$C$2:$C$200,MATCH(33,Zuteilungen!$J$2:$J$200,0))),"")</f>
        <v/>
      </c>
      <c r="E37" s="12" t="str">
        <f>IFERROR(IF(INDEX(Zuteilungen!$D$2:$D$200,MATCH(33,Zuteilungen!$J$2:$J$200,0))="","",INDEX(Zuteilungen!$D$2:$D$200,MATCH(33,Zuteilungen!$J$2:$J$200,0))),"")</f>
        <v/>
      </c>
      <c r="F37" s="12" t="str">
        <f>IFERROR(IF(INDEX(Zuteilungen!$E$2:$E$200,MATCH(33,Zuteilungen!$J$2:$J$200,0))="","",INDEX(Zuteilungen!$E$2:$E$200,MATCH(33,Zuteilungen!$J$2:$J$200,0))),"")</f>
        <v/>
      </c>
      <c r="G37" s="34" t="str">
        <f>IFERROR(IF(INDEX(Zuteilungen!$F$2:$F$200,MATCH(33,Zuteilungen!$J$2:$J$200,0))="","",INDEX(Zuteilungen!$F$2:$F$200,MATCH(33,Zuteilungen!$J$2:$J$200,0))),"")</f>
        <v/>
      </c>
      <c r="H37" s="60" t="str">
        <f>IFERROR(IF(INDEX(Zuteilungen!$H$2:$H$200,MATCH(33,Zuteilungen!$J$2:$J$200,0))="","",INDEX(Zuteilungen!$H$2:$H$200,MATCH(33,Zuteilungen!$J$2:$J$200,0))),"")</f>
        <v/>
      </c>
      <c r="I37" s="61" t="str">
        <f>IFERROR(IF(INDEX(Zuteilungen!$I$2:$I$200,MATCH(33,Zuteilungen!$J$2:$J$200,0))="","",INDEX(Zuteilungen!$I$2:$I$200,MATCH(33,Zuteilungen!$J$2:$J$200,0))),"")</f>
        <v/>
      </c>
    </row>
    <row r="38" spans="1:9" x14ac:dyDescent="0.25">
      <c r="A38" s="30" t="str">
        <f>IFERROR(IF(MATCH(34,Zuteilungen!$J$2:$J$200,0)&gt;0,34,""),"")</f>
        <v/>
      </c>
      <c r="B38" s="30" t="str">
        <f>IFERROR(IF(INDEX(Zuteilungen!$A$2:$A$200,MATCH(34,Zuteilungen!$J$2:$J$200,0))="","",INDEX(Zuteilungen!$A$2:$A$200,MATCH(34,Zuteilungen!$J$2:$J$200,0))),"")</f>
        <v/>
      </c>
      <c r="C38" s="16" t="str">
        <f>IFERROR(IF(INDEX(Zuteilungen!$B$2:$B$200,MATCH(34,Zuteilungen!$J$2:$J$200,0))="","",INDEX(Zuteilungen!$B$2:$B$200,MATCH(34,Zuteilungen!$J$2:$J$200,0))),"")</f>
        <v/>
      </c>
      <c r="D38" s="15" t="str">
        <f>IFERROR(IF(INDEX(Zuteilungen!$C$2:$C$200,MATCH(34,Zuteilungen!$J$2:$J$200,0))="","",INDEX(Zuteilungen!$C$2:$C$200,MATCH(34,Zuteilungen!$J$2:$J$200,0))),"")</f>
        <v/>
      </c>
      <c r="E38" s="15" t="str">
        <f>IFERROR(IF(INDEX(Zuteilungen!$D$2:$D$200,MATCH(34,Zuteilungen!$J$2:$J$200,0))="","",INDEX(Zuteilungen!$D$2:$D$200,MATCH(34,Zuteilungen!$J$2:$J$200,0))),"")</f>
        <v/>
      </c>
      <c r="F38" s="15" t="str">
        <f>IFERROR(IF(INDEX(Zuteilungen!$E$2:$E$200,MATCH(34,Zuteilungen!$J$2:$J$200,0))="","",INDEX(Zuteilungen!$E$2:$E$200,MATCH(34,Zuteilungen!$J$2:$J$200,0))),"")</f>
        <v/>
      </c>
      <c r="G38" s="30" t="str">
        <f>IFERROR(IF(INDEX(Zuteilungen!$F$2:$F$200,MATCH(34,Zuteilungen!$J$2:$J$200,0))="","",INDEX(Zuteilungen!$F$2:$F$200,MATCH(34,Zuteilungen!$J$2:$J$200,0))),"")</f>
        <v/>
      </c>
      <c r="H38" s="62" t="str">
        <f>IFERROR(IF(INDEX(Zuteilungen!$H$2:$H$200,MATCH(34,Zuteilungen!$J$2:$J$200,0))="","",INDEX(Zuteilungen!$H$2:$H$200,MATCH(34,Zuteilungen!$J$2:$J$200,0))),"")</f>
        <v/>
      </c>
      <c r="I38" s="63" t="str">
        <f>IFERROR(IF(INDEX(Zuteilungen!$I$2:$I$200,MATCH(34,Zuteilungen!$J$2:$J$200,0))="","",INDEX(Zuteilungen!$I$2:$I$200,MATCH(34,Zuteilungen!$J$2:$J$200,0))),"")</f>
        <v/>
      </c>
    </row>
    <row r="39" spans="1:9" x14ac:dyDescent="0.25">
      <c r="A39" s="34" t="str">
        <f>IFERROR(IF(MATCH(35,Zuteilungen!$J$2:$J$200,0)&gt;0,35,""),"")</f>
        <v/>
      </c>
      <c r="B39" s="34" t="str">
        <f>IFERROR(IF(INDEX(Zuteilungen!$A$2:$A$200,MATCH(35,Zuteilungen!$J$2:$J$200,0))="","",INDEX(Zuteilungen!$A$2:$A$200,MATCH(35,Zuteilungen!$J$2:$J$200,0))),"")</f>
        <v/>
      </c>
      <c r="C39" s="13" t="str">
        <f>IFERROR(IF(INDEX(Zuteilungen!$B$2:$B$200,MATCH(35,Zuteilungen!$J$2:$J$200,0))="","",INDEX(Zuteilungen!$B$2:$B$200,MATCH(35,Zuteilungen!$J$2:$J$200,0))),"")</f>
        <v/>
      </c>
      <c r="D39" s="12" t="str">
        <f>IFERROR(IF(INDEX(Zuteilungen!$C$2:$C$200,MATCH(35,Zuteilungen!$J$2:$J$200,0))="","",INDEX(Zuteilungen!$C$2:$C$200,MATCH(35,Zuteilungen!$J$2:$J$200,0))),"")</f>
        <v/>
      </c>
      <c r="E39" s="12" t="str">
        <f>IFERROR(IF(INDEX(Zuteilungen!$D$2:$D$200,MATCH(35,Zuteilungen!$J$2:$J$200,0))="","",INDEX(Zuteilungen!$D$2:$D$200,MATCH(35,Zuteilungen!$J$2:$J$200,0))),"")</f>
        <v/>
      </c>
      <c r="F39" s="12" t="str">
        <f>IFERROR(IF(INDEX(Zuteilungen!$E$2:$E$200,MATCH(35,Zuteilungen!$J$2:$J$200,0))="","",INDEX(Zuteilungen!$E$2:$E$200,MATCH(35,Zuteilungen!$J$2:$J$200,0))),"")</f>
        <v/>
      </c>
      <c r="G39" s="34" t="str">
        <f>IFERROR(IF(INDEX(Zuteilungen!$F$2:$F$200,MATCH(35,Zuteilungen!$J$2:$J$200,0))="","",INDEX(Zuteilungen!$F$2:$F$200,MATCH(35,Zuteilungen!$J$2:$J$200,0))),"")</f>
        <v/>
      </c>
      <c r="H39" s="60" t="str">
        <f>IFERROR(IF(INDEX(Zuteilungen!$H$2:$H$200,MATCH(35,Zuteilungen!$J$2:$J$200,0))="","",INDEX(Zuteilungen!$H$2:$H$200,MATCH(35,Zuteilungen!$J$2:$J$200,0))),"")</f>
        <v/>
      </c>
      <c r="I39" s="61" t="str">
        <f>IFERROR(IF(INDEX(Zuteilungen!$I$2:$I$200,MATCH(35,Zuteilungen!$J$2:$J$200,0))="","",INDEX(Zuteilungen!$I$2:$I$200,MATCH(35,Zuteilungen!$J$2:$J$200,0))),"")</f>
        <v/>
      </c>
    </row>
    <row r="40" spans="1:9" x14ac:dyDescent="0.25">
      <c r="A40" s="30" t="str">
        <f>IFERROR(IF(MATCH(36,Zuteilungen!$J$2:$J$200,0)&gt;0,36,""),"")</f>
        <v/>
      </c>
      <c r="B40" s="30" t="str">
        <f>IFERROR(IF(INDEX(Zuteilungen!$A$2:$A$200,MATCH(36,Zuteilungen!$J$2:$J$200,0))="","",INDEX(Zuteilungen!$A$2:$A$200,MATCH(36,Zuteilungen!$J$2:$J$200,0))),"")</f>
        <v/>
      </c>
      <c r="C40" s="16" t="str">
        <f>IFERROR(IF(INDEX(Zuteilungen!$B$2:$B$200,MATCH(36,Zuteilungen!$J$2:$J$200,0))="","",INDEX(Zuteilungen!$B$2:$B$200,MATCH(36,Zuteilungen!$J$2:$J$200,0))),"")</f>
        <v/>
      </c>
      <c r="D40" s="15" t="str">
        <f>IFERROR(IF(INDEX(Zuteilungen!$C$2:$C$200,MATCH(36,Zuteilungen!$J$2:$J$200,0))="","",INDEX(Zuteilungen!$C$2:$C$200,MATCH(36,Zuteilungen!$J$2:$J$200,0))),"")</f>
        <v/>
      </c>
      <c r="E40" s="15" t="str">
        <f>IFERROR(IF(INDEX(Zuteilungen!$D$2:$D$200,MATCH(36,Zuteilungen!$J$2:$J$200,0))="","",INDEX(Zuteilungen!$D$2:$D$200,MATCH(36,Zuteilungen!$J$2:$J$200,0))),"")</f>
        <v/>
      </c>
      <c r="F40" s="15" t="str">
        <f>IFERROR(IF(INDEX(Zuteilungen!$E$2:$E$200,MATCH(36,Zuteilungen!$J$2:$J$200,0))="","",INDEX(Zuteilungen!$E$2:$E$200,MATCH(36,Zuteilungen!$J$2:$J$200,0))),"")</f>
        <v/>
      </c>
      <c r="G40" s="30" t="str">
        <f>IFERROR(IF(INDEX(Zuteilungen!$F$2:$F$200,MATCH(36,Zuteilungen!$J$2:$J$200,0))="","",INDEX(Zuteilungen!$F$2:$F$200,MATCH(36,Zuteilungen!$J$2:$J$200,0))),"")</f>
        <v/>
      </c>
      <c r="H40" s="62" t="str">
        <f>IFERROR(IF(INDEX(Zuteilungen!$H$2:$H$200,MATCH(36,Zuteilungen!$J$2:$J$200,0))="","",INDEX(Zuteilungen!$H$2:$H$200,MATCH(36,Zuteilungen!$J$2:$J$200,0))),"")</f>
        <v/>
      </c>
      <c r="I40" s="63" t="str">
        <f>IFERROR(IF(INDEX(Zuteilungen!$I$2:$I$200,MATCH(36,Zuteilungen!$J$2:$J$200,0))="","",INDEX(Zuteilungen!$I$2:$I$200,MATCH(36,Zuteilungen!$J$2:$J$200,0))),"")</f>
        <v/>
      </c>
    </row>
    <row r="41" spans="1:9" x14ac:dyDescent="0.25">
      <c r="A41" s="34" t="str">
        <f>IFERROR(IF(MATCH(37,Zuteilungen!$J$2:$J$200,0)&gt;0,37,""),"")</f>
        <v/>
      </c>
      <c r="B41" s="34" t="str">
        <f>IFERROR(IF(INDEX(Zuteilungen!$A$2:$A$200,MATCH(37,Zuteilungen!$J$2:$J$200,0))="","",INDEX(Zuteilungen!$A$2:$A$200,MATCH(37,Zuteilungen!$J$2:$J$200,0))),"")</f>
        <v/>
      </c>
      <c r="C41" s="13" t="str">
        <f>IFERROR(IF(INDEX(Zuteilungen!$B$2:$B$200,MATCH(37,Zuteilungen!$J$2:$J$200,0))="","",INDEX(Zuteilungen!$B$2:$B$200,MATCH(37,Zuteilungen!$J$2:$J$200,0))),"")</f>
        <v/>
      </c>
      <c r="D41" s="12" t="str">
        <f>IFERROR(IF(INDEX(Zuteilungen!$C$2:$C$200,MATCH(37,Zuteilungen!$J$2:$J$200,0))="","",INDEX(Zuteilungen!$C$2:$C$200,MATCH(37,Zuteilungen!$J$2:$J$200,0))),"")</f>
        <v/>
      </c>
      <c r="E41" s="12" t="str">
        <f>IFERROR(IF(INDEX(Zuteilungen!$D$2:$D$200,MATCH(37,Zuteilungen!$J$2:$J$200,0))="","",INDEX(Zuteilungen!$D$2:$D$200,MATCH(37,Zuteilungen!$J$2:$J$200,0))),"")</f>
        <v/>
      </c>
      <c r="F41" s="12" t="str">
        <f>IFERROR(IF(INDEX(Zuteilungen!$E$2:$E$200,MATCH(37,Zuteilungen!$J$2:$J$200,0))="","",INDEX(Zuteilungen!$E$2:$E$200,MATCH(37,Zuteilungen!$J$2:$J$200,0))),"")</f>
        <v/>
      </c>
      <c r="G41" s="34" t="str">
        <f>IFERROR(IF(INDEX(Zuteilungen!$F$2:$F$200,MATCH(37,Zuteilungen!$J$2:$J$200,0))="","",INDEX(Zuteilungen!$F$2:$F$200,MATCH(37,Zuteilungen!$J$2:$J$200,0))),"")</f>
        <v/>
      </c>
      <c r="H41" s="60" t="str">
        <f>IFERROR(IF(INDEX(Zuteilungen!$H$2:$H$200,MATCH(37,Zuteilungen!$J$2:$J$200,0))="","",INDEX(Zuteilungen!$H$2:$H$200,MATCH(37,Zuteilungen!$J$2:$J$200,0))),"")</f>
        <v/>
      </c>
      <c r="I41" s="61" t="str">
        <f>IFERROR(IF(INDEX(Zuteilungen!$I$2:$I$200,MATCH(37,Zuteilungen!$J$2:$J$200,0))="","",INDEX(Zuteilungen!$I$2:$I$200,MATCH(37,Zuteilungen!$J$2:$J$200,0))),"")</f>
        <v/>
      </c>
    </row>
    <row r="42" spans="1:9" x14ac:dyDescent="0.25">
      <c r="A42" s="30" t="str">
        <f>IFERROR(IF(MATCH(38,Zuteilungen!$J$2:$J$200,0)&gt;0,38,""),"")</f>
        <v/>
      </c>
      <c r="B42" s="30" t="str">
        <f>IFERROR(IF(INDEX(Zuteilungen!$A$2:$A$200,MATCH(38,Zuteilungen!$J$2:$J$200,0))="","",INDEX(Zuteilungen!$A$2:$A$200,MATCH(38,Zuteilungen!$J$2:$J$200,0))),"")</f>
        <v/>
      </c>
      <c r="C42" s="16" t="str">
        <f>IFERROR(IF(INDEX(Zuteilungen!$B$2:$B$200,MATCH(38,Zuteilungen!$J$2:$J$200,0))="","",INDEX(Zuteilungen!$B$2:$B$200,MATCH(38,Zuteilungen!$J$2:$J$200,0))),"")</f>
        <v/>
      </c>
      <c r="D42" s="15" t="str">
        <f>IFERROR(IF(INDEX(Zuteilungen!$C$2:$C$200,MATCH(38,Zuteilungen!$J$2:$J$200,0))="","",INDEX(Zuteilungen!$C$2:$C$200,MATCH(38,Zuteilungen!$J$2:$J$200,0))),"")</f>
        <v/>
      </c>
      <c r="E42" s="15" t="str">
        <f>IFERROR(IF(INDEX(Zuteilungen!$D$2:$D$200,MATCH(38,Zuteilungen!$J$2:$J$200,0))="","",INDEX(Zuteilungen!$D$2:$D$200,MATCH(38,Zuteilungen!$J$2:$J$200,0))),"")</f>
        <v/>
      </c>
      <c r="F42" s="15" t="str">
        <f>IFERROR(IF(INDEX(Zuteilungen!$E$2:$E$200,MATCH(38,Zuteilungen!$J$2:$J$200,0))="","",INDEX(Zuteilungen!$E$2:$E$200,MATCH(38,Zuteilungen!$J$2:$J$200,0))),"")</f>
        <v/>
      </c>
      <c r="G42" s="30" t="str">
        <f>IFERROR(IF(INDEX(Zuteilungen!$F$2:$F$200,MATCH(38,Zuteilungen!$J$2:$J$200,0))="","",INDEX(Zuteilungen!$F$2:$F$200,MATCH(38,Zuteilungen!$J$2:$J$200,0))),"")</f>
        <v/>
      </c>
      <c r="H42" s="62" t="str">
        <f>IFERROR(IF(INDEX(Zuteilungen!$H$2:$H$200,MATCH(38,Zuteilungen!$J$2:$J$200,0))="","",INDEX(Zuteilungen!$H$2:$H$200,MATCH(38,Zuteilungen!$J$2:$J$200,0))),"")</f>
        <v/>
      </c>
      <c r="I42" s="63" t="str">
        <f>IFERROR(IF(INDEX(Zuteilungen!$I$2:$I$200,MATCH(38,Zuteilungen!$J$2:$J$200,0))="","",INDEX(Zuteilungen!$I$2:$I$200,MATCH(38,Zuteilungen!$J$2:$J$200,0))),"")</f>
        <v/>
      </c>
    </row>
    <row r="43" spans="1:9" x14ac:dyDescent="0.25">
      <c r="A43" s="34" t="str">
        <f>IFERROR(IF(MATCH(39,Zuteilungen!$J$2:$J$200,0)&gt;0,39,""),"")</f>
        <v/>
      </c>
      <c r="B43" s="34" t="str">
        <f>IFERROR(IF(INDEX(Zuteilungen!$A$2:$A$200,MATCH(39,Zuteilungen!$J$2:$J$200,0))="","",INDEX(Zuteilungen!$A$2:$A$200,MATCH(39,Zuteilungen!$J$2:$J$200,0))),"")</f>
        <v/>
      </c>
      <c r="C43" s="13" t="str">
        <f>IFERROR(IF(INDEX(Zuteilungen!$B$2:$B$200,MATCH(39,Zuteilungen!$J$2:$J$200,0))="","",INDEX(Zuteilungen!$B$2:$B$200,MATCH(39,Zuteilungen!$J$2:$J$200,0))),"")</f>
        <v/>
      </c>
      <c r="D43" s="12" t="str">
        <f>IFERROR(IF(INDEX(Zuteilungen!$C$2:$C$200,MATCH(39,Zuteilungen!$J$2:$J$200,0))="","",INDEX(Zuteilungen!$C$2:$C$200,MATCH(39,Zuteilungen!$J$2:$J$200,0))),"")</f>
        <v/>
      </c>
      <c r="E43" s="12" t="str">
        <f>IFERROR(IF(INDEX(Zuteilungen!$D$2:$D$200,MATCH(39,Zuteilungen!$J$2:$J$200,0))="","",INDEX(Zuteilungen!$D$2:$D$200,MATCH(39,Zuteilungen!$J$2:$J$200,0))),"")</f>
        <v/>
      </c>
      <c r="F43" s="12" t="str">
        <f>IFERROR(IF(INDEX(Zuteilungen!$E$2:$E$200,MATCH(39,Zuteilungen!$J$2:$J$200,0))="","",INDEX(Zuteilungen!$E$2:$E$200,MATCH(39,Zuteilungen!$J$2:$J$200,0))),"")</f>
        <v/>
      </c>
      <c r="G43" s="34" t="str">
        <f>IFERROR(IF(INDEX(Zuteilungen!$F$2:$F$200,MATCH(39,Zuteilungen!$J$2:$J$200,0))="","",INDEX(Zuteilungen!$F$2:$F$200,MATCH(39,Zuteilungen!$J$2:$J$200,0))),"")</f>
        <v/>
      </c>
      <c r="H43" s="60" t="str">
        <f>IFERROR(IF(INDEX(Zuteilungen!$H$2:$H$200,MATCH(39,Zuteilungen!$J$2:$J$200,0))="","",INDEX(Zuteilungen!$H$2:$H$200,MATCH(39,Zuteilungen!$J$2:$J$200,0))),"")</f>
        <v/>
      </c>
      <c r="I43" s="61" t="str">
        <f>IFERROR(IF(INDEX(Zuteilungen!$I$2:$I$200,MATCH(39,Zuteilungen!$J$2:$J$200,0))="","",INDEX(Zuteilungen!$I$2:$I$200,MATCH(39,Zuteilungen!$J$2:$J$200,0))),"")</f>
        <v/>
      </c>
    </row>
    <row r="44" spans="1:9" x14ac:dyDescent="0.25">
      <c r="A44" s="30" t="str">
        <f>IFERROR(IF(MATCH(40,Zuteilungen!$J$2:$J$200,0)&gt;0,40,""),"")</f>
        <v/>
      </c>
      <c r="B44" s="30" t="str">
        <f>IFERROR(IF(INDEX(Zuteilungen!$A$2:$A$200,MATCH(40,Zuteilungen!$J$2:$J$200,0))="","",INDEX(Zuteilungen!$A$2:$A$200,MATCH(40,Zuteilungen!$J$2:$J$200,0))),"")</f>
        <v/>
      </c>
      <c r="C44" s="16" t="str">
        <f>IFERROR(IF(INDEX(Zuteilungen!$B$2:$B$200,MATCH(40,Zuteilungen!$J$2:$J$200,0))="","",INDEX(Zuteilungen!$B$2:$B$200,MATCH(40,Zuteilungen!$J$2:$J$200,0))),"")</f>
        <v/>
      </c>
      <c r="D44" s="15" t="str">
        <f>IFERROR(IF(INDEX(Zuteilungen!$C$2:$C$200,MATCH(40,Zuteilungen!$J$2:$J$200,0))="","",INDEX(Zuteilungen!$C$2:$C$200,MATCH(40,Zuteilungen!$J$2:$J$200,0))),"")</f>
        <v/>
      </c>
      <c r="E44" s="15" t="str">
        <f>IFERROR(IF(INDEX(Zuteilungen!$D$2:$D$200,MATCH(40,Zuteilungen!$J$2:$J$200,0))="","",INDEX(Zuteilungen!$D$2:$D$200,MATCH(40,Zuteilungen!$J$2:$J$200,0))),"")</f>
        <v/>
      </c>
      <c r="F44" s="15" t="str">
        <f>IFERROR(IF(INDEX(Zuteilungen!$E$2:$E$200,MATCH(40,Zuteilungen!$J$2:$J$200,0))="","",INDEX(Zuteilungen!$E$2:$E$200,MATCH(40,Zuteilungen!$J$2:$J$200,0))),"")</f>
        <v/>
      </c>
      <c r="G44" s="30" t="str">
        <f>IFERROR(IF(INDEX(Zuteilungen!$F$2:$F$200,MATCH(40,Zuteilungen!$J$2:$J$200,0))="","",INDEX(Zuteilungen!$F$2:$F$200,MATCH(40,Zuteilungen!$J$2:$J$200,0))),"")</f>
        <v/>
      </c>
      <c r="H44" s="62" t="str">
        <f>IFERROR(IF(INDEX(Zuteilungen!$H$2:$H$200,MATCH(40,Zuteilungen!$J$2:$J$200,0))="","",INDEX(Zuteilungen!$H$2:$H$200,MATCH(40,Zuteilungen!$J$2:$J$200,0))),"")</f>
        <v/>
      </c>
      <c r="I44" s="63" t="str">
        <f>IFERROR(IF(INDEX(Zuteilungen!$I$2:$I$200,MATCH(40,Zuteilungen!$J$2:$J$200,0))="","",INDEX(Zuteilungen!$I$2:$I$200,MATCH(40,Zuteilungen!$J$2:$J$200,0))),"")</f>
        <v/>
      </c>
    </row>
    <row r="45" spans="1:9" x14ac:dyDescent="0.25">
      <c r="A45" s="34" t="str">
        <f>IFERROR(IF(MATCH(41,Zuteilungen!$J$2:$J$200,0)&gt;0,41,""),"")</f>
        <v/>
      </c>
      <c r="B45" s="34" t="str">
        <f>IFERROR(IF(INDEX(Zuteilungen!$A$2:$A$200,MATCH(41,Zuteilungen!$J$2:$J$200,0))="","",INDEX(Zuteilungen!$A$2:$A$200,MATCH(41,Zuteilungen!$J$2:$J$200,0))),"")</f>
        <v/>
      </c>
      <c r="C45" s="13" t="str">
        <f>IFERROR(IF(INDEX(Zuteilungen!$B$2:$B$200,MATCH(41,Zuteilungen!$J$2:$J$200,0))="","",INDEX(Zuteilungen!$B$2:$B$200,MATCH(41,Zuteilungen!$J$2:$J$200,0))),"")</f>
        <v/>
      </c>
      <c r="D45" s="12" t="str">
        <f>IFERROR(IF(INDEX(Zuteilungen!$C$2:$C$200,MATCH(41,Zuteilungen!$J$2:$J$200,0))="","",INDEX(Zuteilungen!$C$2:$C$200,MATCH(41,Zuteilungen!$J$2:$J$200,0))),"")</f>
        <v/>
      </c>
      <c r="E45" s="12" t="str">
        <f>IFERROR(IF(INDEX(Zuteilungen!$D$2:$D$200,MATCH(41,Zuteilungen!$J$2:$J$200,0))="","",INDEX(Zuteilungen!$D$2:$D$200,MATCH(41,Zuteilungen!$J$2:$J$200,0))),"")</f>
        <v/>
      </c>
      <c r="F45" s="12" t="str">
        <f>IFERROR(IF(INDEX(Zuteilungen!$E$2:$E$200,MATCH(41,Zuteilungen!$J$2:$J$200,0))="","",INDEX(Zuteilungen!$E$2:$E$200,MATCH(41,Zuteilungen!$J$2:$J$200,0))),"")</f>
        <v/>
      </c>
      <c r="G45" s="34" t="str">
        <f>IFERROR(IF(INDEX(Zuteilungen!$F$2:$F$200,MATCH(41,Zuteilungen!$J$2:$J$200,0))="","",INDEX(Zuteilungen!$F$2:$F$200,MATCH(41,Zuteilungen!$J$2:$J$200,0))),"")</f>
        <v/>
      </c>
      <c r="H45" s="60" t="str">
        <f>IFERROR(IF(INDEX(Zuteilungen!$H$2:$H$200,MATCH(41,Zuteilungen!$J$2:$J$200,0))="","",INDEX(Zuteilungen!$H$2:$H$200,MATCH(41,Zuteilungen!$J$2:$J$200,0))),"")</f>
        <v/>
      </c>
      <c r="I45" s="61" t="str">
        <f>IFERROR(IF(INDEX(Zuteilungen!$I$2:$I$200,MATCH(41,Zuteilungen!$J$2:$J$200,0))="","",INDEX(Zuteilungen!$I$2:$I$200,MATCH(41,Zuteilungen!$J$2:$J$200,0))),"")</f>
        <v/>
      </c>
    </row>
    <row r="46" spans="1:9" x14ac:dyDescent="0.25">
      <c r="A46" s="30" t="str">
        <f>IFERROR(IF(MATCH(42,Zuteilungen!$J$2:$J$200,0)&gt;0,42,""),"")</f>
        <v/>
      </c>
      <c r="B46" s="30" t="str">
        <f>IFERROR(IF(INDEX(Zuteilungen!$A$2:$A$200,MATCH(42,Zuteilungen!$J$2:$J$200,0))="","",INDEX(Zuteilungen!$A$2:$A$200,MATCH(42,Zuteilungen!$J$2:$J$200,0))),"")</f>
        <v/>
      </c>
      <c r="C46" s="16" t="str">
        <f>IFERROR(IF(INDEX(Zuteilungen!$B$2:$B$200,MATCH(42,Zuteilungen!$J$2:$J$200,0))="","",INDEX(Zuteilungen!$B$2:$B$200,MATCH(42,Zuteilungen!$J$2:$J$200,0))),"")</f>
        <v/>
      </c>
      <c r="D46" s="15" t="str">
        <f>IFERROR(IF(INDEX(Zuteilungen!$C$2:$C$200,MATCH(42,Zuteilungen!$J$2:$J$200,0))="","",INDEX(Zuteilungen!$C$2:$C$200,MATCH(42,Zuteilungen!$J$2:$J$200,0))),"")</f>
        <v/>
      </c>
      <c r="E46" s="15" t="str">
        <f>IFERROR(IF(INDEX(Zuteilungen!$D$2:$D$200,MATCH(42,Zuteilungen!$J$2:$J$200,0))="","",INDEX(Zuteilungen!$D$2:$D$200,MATCH(42,Zuteilungen!$J$2:$J$200,0))),"")</f>
        <v/>
      </c>
      <c r="F46" s="15" t="str">
        <f>IFERROR(IF(INDEX(Zuteilungen!$E$2:$E$200,MATCH(42,Zuteilungen!$J$2:$J$200,0))="","",INDEX(Zuteilungen!$E$2:$E$200,MATCH(42,Zuteilungen!$J$2:$J$200,0))),"")</f>
        <v/>
      </c>
      <c r="G46" s="30" t="str">
        <f>IFERROR(IF(INDEX(Zuteilungen!$F$2:$F$200,MATCH(42,Zuteilungen!$J$2:$J$200,0))="","",INDEX(Zuteilungen!$F$2:$F$200,MATCH(42,Zuteilungen!$J$2:$J$200,0))),"")</f>
        <v/>
      </c>
      <c r="H46" s="62" t="str">
        <f>IFERROR(IF(INDEX(Zuteilungen!$H$2:$H$200,MATCH(42,Zuteilungen!$J$2:$J$200,0))="","",INDEX(Zuteilungen!$H$2:$H$200,MATCH(42,Zuteilungen!$J$2:$J$200,0))),"")</f>
        <v/>
      </c>
      <c r="I46" s="63" t="str">
        <f>IFERROR(IF(INDEX(Zuteilungen!$I$2:$I$200,MATCH(42,Zuteilungen!$J$2:$J$200,0))="","",INDEX(Zuteilungen!$I$2:$I$200,MATCH(42,Zuteilungen!$J$2:$J$200,0))),"")</f>
        <v/>
      </c>
    </row>
    <row r="47" spans="1:9" x14ac:dyDescent="0.25">
      <c r="A47" s="34" t="str">
        <f>IFERROR(IF(MATCH(43,Zuteilungen!$J$2:$J$200,0)&gt;0,43,""),"")</f>
        <v/>
      </c>
      <c r="B47" s="34" t="str">
        <f>IFERROR(IF(INDEX(Zuteilungen!$A$2:$A$200,MATCH(43,Zuteilungen!$J$2:$J$200,0))="","",INDEX(Zuteilungen!$A$2:$A$200,MATCH(43,Zuteilungen!$J$2:$J$200,0))),"")</f>
        <v/>
      </c>
      <c r="C47" s="13" t="str">
        <f>IFERROR(IF(INDEX(Zuteilungen!$B$2:$B$200,MATCH(43,Zuteilungen!$J$2:$J$200,0))="","",INDEX(Zuteilungen!$B$2:$B$200,MATCH(43,Zuteilungen!$J$2:$J$200,0))),"")</f>
        <v/>
      </c>
      <c r="D47" s="12" t="str">
        <f>IFERROR(IF(INDEX(Zuteilungen!$C$2:$C$200,MATCH(43,Zuteilungen!$J$2:$J$200,0))="","",INDEX(Zuteilungen!$C$2:$C$200,MATCH(43,Zuteilungen!$J$2:$J$200,0))),"")</f>
        <v/>
      </c>
      <c r="E47" s="12" t="str">
        <f>IFERROR(IF(INDEX(Zuteilungen!$D$2:$D$200,MATCH(43,Zuteilungen!$J$2:$J$200,0))="","",INDEX(Zuteilungen!$D$2:$D$200,MATCH(43,Zuteilungen!$J$2:$J$200,0))),"")</f>
        <v/>
      </c>
      <c r="F47" s="12" t="str">
        <f>IFERROR(IF(INDEX(Zuteilungen!$E$2:$E$200,MATCH(43,Zuteilungen!$J$2:$J$200,0))="","",INDEX(Zuteilungen!$E$2:$E$200,MATCH(43,Zuteilungen!$J$2:$J$200,0))),"")</f>
        <v/>
      </c>
      <c r="G47" s="34" t="str">
        <f>IFERROR(IF(INDEX(Zuteilungen!$F$2:$F$200,MATCH(43,Zuteilungen!$J$2:$J$200,0))="","",INDEX(Zuteilungen!$F$2:$F$200,MATCH(43,Zuteilungen!$J$2:$J$200,0))),"")</f>
        <v/>
      </c>
      <c r="H47" s="60" t="str">
        <f>IFERROR(IF(INDEX(Zuteilungen!$H$2:$H$200,MATCH(43,Zuteilungen!$J$2:$J$200,0))="","",INDEX(Zuteilungen!$H$2:$H$200,MATCH(43,Zuteilungen!$J$2:$J$200,0))),"")</f>
        <v/>
      </c>
      <c r="I47" s="61" t="str">
        <f>IFERROR(IF(INDEX(Zuteilungen!$I$2:$I$200,MATCH(43,Zuteilungen!$J$2:$J$200,0))="","",INDEX(Zuteilungen!$I$2:$I$200,MATCH(43,Zuteilungen!$J$2:$J$200,0))),"")</f>
        <v/>
      </c>
    </row>
    <row r="48" spans="1:9" x14ac:dyDescent="0.25">
      <c r="A48" s="30" t="str">
        <f>IFERROR(IF(MATCH(44,Zuteilungen!$J$2:$J$200,0)&gt;0,44,""),"")</f>
        <v/>
      </c>
      <c r="B48" s="30" t="str">
        <f>IFERROR(IF(INDEX(Zuteilungen!$A$2:$A$200,MATCH(44,Zuteilungen!$J$2:$J$200,0))="","",INDEX(Zuteilungen!$A$2:$A$200,MATCH(44,Zuteilungen!$J$2:$J$200,0))),"")</f>
        <v/>
      </c>
      <c r="C48" s="16" t="str">
        <f>IFERROR(IF(INDEX(Zuteilungen!$B$2:$B$200,MATCH(44,Zuteilungen!$J$2:$J$200,0))="","",INDEX(Zuteilungen!$B$2:$B$200,MATCH(44,Zuteilungen!$J$2:$J$200,0))),"")</f>
        <v/>
      </c>
      <c r="D48" s="15" t="str">
        <f>IFERROR(IF(INDEX(Zuteilungen!$C$2:$C$200,MATCH(44,Zuteilungen!$J$2:$J$200,0))="","",INDEX(Zuteilungen!$C$2:$C$200,MATCH(44,Zuteilungen!$J$2:$J$200,0))),"")</f>
        <v/>
      </c>
      <c r="E48" s="15" t="str">
        <f>IFERROR(IF(INDEX(Zuteilungen!$D$2:$D$200,MATCH(44,Zuteilungen!$J$2:$J$200,0))="","",INDEX(Zuteilungen!$D$2:$D$200,MATCH(44,Zuteilungen!$J$2:$J$200,0))),"")</f>
        <v/>
      </c>
      <c r="F48" s="15" t="str">
        <f>IFERROR(IF(INDEX(Zuteilungen!$E$2:$E$200,MATCH(44,Zuteilungen!$J$2:$J$200,0))="","",INDEX(Zuteilungen!$E$2:$E$200,MATCH(44,Zuteilungen!$J$2:$J$200,0))),"")</f>
        <v/>
      </c>
      <c r="G48" s="30" t="str">
        <f>IFERROR(IF(INDEX(Zuteilungen!$F$2:$F$200,MATCH(44,Zuteilungen!$J$2:$J$200,0))="","",INDEX(Zuteilungen!$F$2:$F$200,MATCH(44,Zuteilungen!$J$2:$J$200,0))),"")</f>
        <v/>
      </c>
      <c r="H48" s="62" t="str">
        <f>IFERROR(IF(INDEX(Zuteilungen!$H$2:$H$200,MATCH(44,Zuteilungen!$J$2:$J$200,0))="","",INDEX(Zuteilungen!$H$2:$H$200,MATCH(44,Zuteilungen!$J$2:$J$200,0))),"")</f>
        <v/>
      </c>
      <c r="I48" s="63" t="str">
        <f>IFERROR(IF(INDEX(Zuteilungen!$I$2:$I$200,MATCH(44,Zuteilungen!$J$2:$J$200,0))="","",INDEX(Zuteilungen!$I$2:$I$200,MATCH(44,Zuteilungen!$J$2:$J$200,0))),"")</f>
        <v/>
      </c>
    </row>
    <row r="49" spans="1:9" x14ac:dyDescent="0.25">
      <c r="A49" s="34" t="str">
        <f>IFERROR(IF(MATCH(45,Zuteilungen!$J$2:$J$200,0)&gt;0,45,""),"")</f>
        <v/>
      </c>
      <c r="B49" s="34" t="str">
        <f>IFERROR(IF(INDEX(Zuteilungen!$A$2:$A$200,MATCH(45,Zuteilungen!$J$2:$J$200,0))="","",INDEX(Zuteilungen!$A$2:$A$200,MATCH(45,Zuteilungen!$J$2:$J$200,0))),"")</f>
        <v/>
      </c>
      <c r="C49" s="13" t="str">
        <f>IFERROR(IF(INDEX(Zuteilungen!$B$2:$B$200,MATCH(45,Zuteilungen!$J$2:$J$200,0))="","",INDEX(Zuteilungen!$B$2:$B$200,MATCH(45,Zuteilungen!$J$2:$J$200,0))),"")</f>
        <v/>
      </c>
      <c r="D49" s="12" t="str">
        <f>IFERROR(IF(INDEX(Zuteilungen!$C$2:$C$200,MATCH(45,Zuteilungen!$J$2:$J$200,0))="","",INDEX(Zuteilungen!$C$2:$C$200,MATCH(45,Zuteilungen!$J$2:$J$200,0))),"")</f>
        <v/>
      </c>
      <c r="E49" s="12" t="str">
        <f>IFERROR(IF(INDEX(Zuteilungen!$D$2:$D$200,MATCH(45,Zuteilungen!$J$2:$J$200,0))="","",INDEX(Zuteilungen!$D$2:$D$200,MATCH(45,Zuteilungen!$J$2:$J$200,0))),"")</f>
        <v/>
      </c>
      <c r="F49" s="12" t="str">
        <f>IFERROR(IF(INDEX(Zuteilungen!$E$2:$E$200,MATCH(45,Zuteilungen!$J$2:$J$200,0))="","",INDEX(Zuteilungen!$E$2:$E$200,MATCH(45,Zuteilungen!$J$2:$J$200,0))),"")</f>
        <v/>
      </c>
      <c r="G49" s="34" t="str">
        <f>IFERROR(IF(INDEX(Zuteilungen!$F$2:$F$200,MATCH(45,Zuteilungen!$J$2:$J$200,0))="","",INDEX(Zuteilungen!$F$2:$F$200,MATCH(45,Zuteilungen!$J$2:$J$200,0))),"")</f>
        <v/>
      </c>
      <c r="H49" s="60" t="str">
        <f>IFERROR(IF(INDEX(Zuteilungen!$H$2:$H$200,MATCH(45,Zuteilungen!$J$2:$J$200,0))="","",INDEX(Zuteilungen!$H$2:$H$200,MATCH(45,Zuteilungen!$J$2:$J$200,0))),"")</f>
        <v/>
      </c>
      <c r="I49" s="61" t="str">
        <f>IFERROR(IF(INDEX(Zuteilungen!$I$2:$I$200,MATCH(45,Zuteilungen!$J$2:$J$200,0))="","",INDEX(Zuteilungen!$I$2:$I$200,MATCH(45,Zuteilungen!$J$2:$J$200,0))),"")</f>
        <v/>
      </c>
    </row>
    <row r="50" spans="1:9" x14ac:dyDescent="0.25">
      <c r="A50" s="30" t="str">
        <f>IFERROR(IF(MATCH(46,Zuteilungen!$J$2:$J$200,0)&gt;0,46,""),"")</f>
        <v/>
      </c>
      <c r="B50" s="30" t="str">
        <f>IFERROR(IF(INDEX(Zuteilungen!$A$2:$A$200,MATCH(46,Zuteilungen!$J$2:$J$200,0))="","",INDEX(Zuteilungen!$A$2:$A$200,MATCH(46,Zuteilungen!$J$2:$J$200,0))),"")</f>
        <v/>
      </c>
      <c r="C50" s="16" t="str">
        <f>IFERROR(IF(INDEX(Zuteilungen!$B$2:$B$200,MATCH(46,Zuteilungen!$J$2:$J$200,0))="","",INDEX(Zuteilungen!$B$2:$B$200,MATCH(46,Zuteilungen!$J$2:$J$200,0))),"")</f>
        <v/>
      </c>
      <c r="D50" s="15" t="str">
        <f>IFERROR(IF(INDEX(Zuteilungen!$C$2:$C$200,MATCH(46,Zuteilungen!$J$2:$J$200,0))="","",INDEX(Zuteilungen!$C$2:$C$200,MATCH(46,Zuteilungen!$J$2:$J$200,0))),"")</f>
        <v/>
      </c>
      <c r="E50" s="15" t="str">
        <f>IFERROR(IF(INDEX(Zuteilungen!$D$2:$D$200,MATCH(46,Zuteilungen!$J$2:$J$200,0))="","",INDEX(Zuteilungen!$D$2:$D$200,MATCH(46,Zuteilungen!$J$2:$J$200,0))),"")</f>
        <v/>
      </c>
      <c r="F50" s="15" t="str">
        <f>IFERROR(IF(INDEX(Zuteilungen!$E$2:$E$200,MATCH(46,Zuteilungen!$J$2:$J$200,0))="","",INDEX(Zuteilungen!$E$2:$E$200,MATCH(46,Zuteilungen!$J$2:$J$200,0))),"")</f>
        <v/>
      </c>
      <c r="G50" s="30" t="str">
        <f>IFERROR(IF(INDEX(Zuteilungen!$F$2:$F$200,MATCH(46,Zuteilungen!$J$2:$J$200,0))="","",INDEX(Zuteilungen!$F$2:$F$200,MATCH(46,Zuteilungen!$J$2:$J$200,0))),"")</f>
        <v/>
      </c>
      <c r="H50" s="62" t="str">
        <f>IFERROR(IF(INDEX(Zuteilungen!$H$2:$H$200,MATCH(46,Zuteilungen!$J$2:$J$200,0))="","",INDEX(Zuteilungen!$H$2:$H$200,MATCH(46,Zuteilungen!$J$2:$J$200,0))),"")</f>
        <v/>
      </c>
      <c r="I50" s="63" t="str">
        <f>IFERROR(IF(INDEX(Zuteilungen!$I$2:$I$200,MATCH(46,Zuteilungen!$J$2:$J$200,0))="","",INDEX(Zuteilungen!$I$2:$I$200,MATCH(46,Zuteilungen!$J$2:$J$200,0))),"")</f>
        <v/>
      </c>
    </row>
    <row r="51" spans="1:9" x14ac:dyDescent="0.25">
      <c r="A51" s="34" t="str">
        <f>IFERROR(IF(MATCH(47,Zuteilungen!$J$2:$J$200,0)&gt;0,47,""),"")</f>
        <v/>
      </c>
      <c r="B51" s="34" t="str">
        <f>IFERROR(IF(INDEX(Zuteilungen!$A$2:$A$200,MATCH(47,Zuteilungen!$J$2:$J$200,0))="","",INDEX(Zuteilungen!$A$2:$A$200,MATCH(47,Zuteilungen!$J$2:$J$200,0))),"")</f>
        <v/>
      </c>
      <c r="C51" s="13" t="str">
        <f>IFERROR(IF(INDEX(Zuteilungen!$B$2:$B$200,MATCH(47,Zuteilungen!$J$2:$J$200,0))="","",INDEX(Zuteilungen!$B$2:$B$200,MATCH(47,Zuteilungen!$J$2:$J$200,0))),"")</f>
        <v/>
      </c>
      <c r="D51" s="12" t="str">
        <f>IFERROR(IF(INDEX(Zuteilungen!$C$2:$C$200,MATCH(47,Zuteilungen!$J$2:$J$200,0))="","",INDEX(Zuteilungen!$C$2:$C$200,MATCH(47,Zuteilungen!$J$2:$J$200,0))),"")</f>
        <v/>
      </c>
      <c r="E51" s="12" t="str">
        <f>IFERROR(IF(INDEX(Zuteilungen!$D$2:$D$200,MATCH(47,Zuteilungen!$J$2:$J$200,0))="","",INDEX(Zuteilungen!$D$2:$D$200,MATCH(47,Zuteilungen!$J$2:$J$200,0))),"")</f>
        <v/>
      </c>
      <c r="F51" s="12" t="str">
        <f>IFERROR(IF(INDEX(Zuteilungen!$E$2:$E$200,MATCH(47,Zuteilungen!$J$2:$J$200,0))="","",INDEX(Zuteilungen!$E$2:$E$200,MATCH(47,Zuteilungen!$J$2:$J$200,0))),"")</f>
        <v/>
      </c>
      <c r="G51" s="34" t="str">
        <f>IFERROR(IF(INDEX(Zuteilungen!$F$2:$F$200,MATCH(47,Zuteilungen!$J$2:$J$200,0))="","",INDEX(Zuteilungen!$F$2:$F$200,MATCH(47,Zuteilungen!$J$2:$J$200,0))),"")</f>
        <v/>
      </c>
      <c r="H51" s="60" t="str">
        <f>IFERROR(IF(INDEX(Zuteilungen!$H$2:$H$200,MATCH(47,Zuteilungen!$J$2:$J$200,0))="","",INDEX(Zuteilungen!$H$2:$H$200,MATCH(47,Zuteilungen!$J$2:$J$200,0))),"")</f>
        <v/>
      </c>
      <c r="I51" s="61" t="str">
        <f>IFERROR(IF(INDEX(Zuteilungen!$I$2:$I$200,MATCH(47,Zuteilungen!$J$2:$J$200,0))="","",INDEX(Zuteilungen!$I$2:$I$200,MATCH(47,Zuteilungen!$J$2:$J$200,0))),"")</f>
        <v/>
      </c>
    </row>
    <row r="52" spans="1:9" x14ac:dyDescent="0.25">
      <c r="A52" s="30" t="str">
        <f>IFERROR(IF(MATCH(48,Zuteilungen!$J$2:$J$200,0)&gt;0,48,""),"")</f>
        <v/>
      </c>
      <c r="B52" s="30" t="str">
        <f>IFERROR(IF(INDEX(Zuteilungen!$A$2:$A$200,MATCH(48,Zuteilungen!$J$2:$J$200,0))="","",INDEX(Zuteilungen!$A$2:$A$200,MATCH(48,Zuteilungen!$J$2:$J$200,0))),"")</f>
        <v/>
      </c>
      <c r="C52" s="16" t="str">
        <f>IFERROR(IF(INDEX(Zuteilungen!$B$2:$B$200,MATCH(48,Zuteilungen!$J$2:$J$200,0))="","",INDEX(Zuteilungen!$B$2:$B$200,MATCH(48,Zuteilungen!$J$2:$J$200,0))),"")</f>
        <v/>
      </c>
      <c r="D52" s="15" t="str">
        <f>IFERROR(IF(INDEX(Zuteilungen!$C$2:$C$200,MATCH(48,Zuteilungen!$J$2:$J$200,0))="","",INDEX(Zuteilungen!$C$2:$C$200,MATCH(48,Zuteilungen!$J$2:$J$200,0))),"")</f>
        <v/>
      </c>
      <c r="E52" s="15" t="str">
        <f>IFERROR(IF(INDEX(Zuteilungen!$D$2:$D$200,MATCH(48,Zuteilungen!$J$2:$J$200,0))="","",INDEX(Zuteilungen!$D$2:$D$200,MATCH(48,Zuteilungen!$J$2:$J$200,0))),"")</f>
        <v/>
      </c>
      <c r="F52" s="15" t="str">
        <f>IFERROR(IF(INDEX(Zuteilungen!$E$2:$E$200,MATCH(48,Zuteilungen!$J$2:$J$200,0))="","",INDEX(Zuteilungen!$E$2:$E$200,MATCH(48,Zuteilungen!$J$2:$J$200,0))),"")</f>
        <v/>
      </c>
      <c r="G52" s="30" t="str">
        <f>IFERROR(IF(INDEX(Zuteilungen!$F$2:$F$200,MATCH(48,Zuteilungen!$J$2:$J$200,0))="","",INDEX(Zuteilungen!$F$2:$F$200,MATCH(48,Zuteilungen!$J$2:$J$200,0))),"")</f>
        <v/>
      </c>
      <c r="H52" s="62" t="str">
        <f>IFERROR(IF(INDEX(Zuteilungen!$H$2:$H$200,MATCH(48,Zuteilungen!$J$2:$J$200,0))="","",INDEX(Zuteilungen!$H$2:$H$200,MATCH(48,Zuteilungen!$J$2:$J$200,0))),"")</f>
        <v/>
      </c>
      <c r="I52" s="63" t="str">
        <f>IFERROR(IF(INDEX(Zuteilungen!$I$2:$I$200,MATCH(48,Zuteilungen!$J$2:$J$200,0))="","",INDEX(Zuteilungen!$I$2:$I$200,MATCH(48,Zuteilungen!$J$2:$J$200,0))),"")</f>
        <v/>
      </c>
    </row>
    <row r="53" spans="1:9" x14ac:dyDescent="0.25">
      <c r="A53" s="34" t="str">
        <f>IFERROR(IF(MATCH(49,Zuteilungen!$J$2:$J$200,0)&gt;0,49,""),"")</f>
        <v/>
      </c>
      <c r="B53" s="34" t="str">
        <f>IFERROR(IF(INDEX(Zuteilungen!$A$2:$A$200,MATCH(49,Zuteilungen!$J$2:$J$200,0))="","",INDEX(Zuteilungen!$A$2:$A$200,MATCH(49,Zuteilungen!$J$2:$J$200,0))),"")</f>
        <v/>
      </c>
      <c r="C53" s="13" t="str">
        <f>IFERROR(IF(INDEX(Zuteilungen!$B$2:$B$200,MATCH(49,Zuteilungen!$J$2:$J$200,0))="","",INDEX(Zuteilungen!$B$2:$B$200,MATCH(49,Zuteilungen!$J$2:$J$200,0))),"")</f>
        <v/>
      </c>
      <c r="D53" s="12" t="str">
        <f>IFERROR(IF(INDEX(Zuteilungen!$C$2:$C$200,MATCH(49,Zuteilungen!$J$2:$J$200,0))="","",INDEX(Zuteilungen!$C$2:$C$200,MATCH(49,Zuteilungen!$J$2:$J$200,0))),"")</f>
        <v/>
      </c>
      <c r="E53" s="12" t="str">
        <f>IFERROR(IF(INDEX(Zuteilungen!$D$2:$D$200,MATCH(49,Zuteilungen!$J$2:$J$200,0))="","",INDEX(Zuteilungen!$D$2:$D$200,MATCH(49,Zuteilungen!$J$2:$J$200,0))),"")</f>
        <v/>
      </c>
      <c r="F53" s="12" t="str">
        <f>IFERROR(IF(INDEX(Zuteilungen!$E$2:$E$200,MATCH(49,Zuteilungen!$J$2:$J$200,0))="","",INDEX(Zuteilungen!$E$2:$E$200,MATCH(49,Zuteilungen!$J$2:$J$200,0))),"")</f>
        <v/>
      </c>
      <c r="G53" s="34" t="str">
        <f>IFERROR(IF(INDEX(Zuteilungen!$F$2:$F$200,MATCH(49,Zuteilungen!$J$2:$J$200,0))="","",INDEX(Zuteilungen!$F$2:$F$200,MATCH(49,Zuteilungen!$J$2:$J$200,0))),"")</f>
        <v/>
      </c>
      <c r="H53" s="60" t="str">
        <f>IFERROR(IF(INDEX(Zuteilungen!$H$2:$H$200,MATCH(49,Zuteilungen!$J$2:$J$200,0))="","",INDEX(Zuteilungen!$H$2:$H$200,MATCH(49,Zuteilungen!$J$2:$J$200,0))),"")</f>
        <v/>
      </c>
      <c r="I53" s="61" t="str">
        <f>IFERROR(IF(INDEX(Zuteilungen!$I$2:$I$200,MATCH(49,Zuteilungen!$J$2:$J$200,0))="","",INDEX(Zuteilungen!$I$2:$I$200,MATCH(49,Zuteilungen!$J$2:$J$200,0))),"")</f>
        <v/>
      </c>
    </row>
    <row r="54" spans="1:9" x14ac:dyDescent="0.25">
      <c r="A54" s="30" t="str">
        <f>IFERROR(IF(MATCH(50,Zuteilungen!$J$2:$J$200,0)&gt;0,50,""),"")</f>
        <v/>
      </c>
      <c r="B54" s="30" t="str">
        <f>IFERROR(IF(INDEX(Zuteilungen!$A$2:$A$200,MATCH(50,Zuteilungen!$J$2:$J$200,0))="","",INDEX(Zuteilungen!$A$2:$A$200,MATCH(50,Zuteilungen!$J$2:$J$200,0))),"")</f>
        <v/>
      </c>
      <c r="C54" s="16" t="str">
        <f>IFERROR(IF(INDEX(Zuteilungen!$B$2:$B$200,MATCH(50,Zuteilungen!$J$2:$J$200,0))="","",INDEX(Zuteilungen!$B$2:$B$200,MATCH(50,Zuteilungen!$J$2:$J$200,0))),"")</f>
        <v/>
      </c>
      <c r="D54" s="15" t="str">
        <f>IFERROR(IF(INDEX(Zuteilungen!$C$2:$C$200,MATCH(50,Zuteilungen!$J$2:$J$200,0))="","",INDEX(Zuteilungen!$C$2:$C$200,MATCH(50,Zuteilungen!$J$2:$J$200,0))),"")</f>
        <v/>
      </c>
      <c r="E54" s="15" t="str">
        <f>IFERROR(IF(INDEX(Zuteilungen!$D$2:$D$200,MATCH(50,Zuteilungen!$J$2:$J$200,0))="","",INDEX(Zuteilungen!$D$2:$D$200,MATCH(50,Zuteilungen!$J$2:$J$200,0))),"")</f>
        <v/>
      </c>
      <c r="F54" s="15" t="str">
        <f>IFERROR(IF(INDEX(Zuteilungen!$E$2:$E$200,MATCH(50,Zuteilungen!$J$2:$J$200,0))="","",INDEX(Zuteilungen!$E$2:$E$200,MATCH(50,Zuteilungen!$J$2:$J$200,0))),"")</f>
        <v/>
      </c>
      <c r="G54" s="30" t="str">
        <f>IFERROR(IF(INDEX(Zuteilungen!$F$2:$F$200,MATCH(50,Zuteilungen!$J$2:$J$200,0))="","",INDEX(Zuteilungen!$F$2:$F$200,MATCH(50,Zuteilungen!$J$2:$J$200,0))),"")</f>
        <v/>
      </c>
      <c r="H54" s="62" t="str">
        <f>IFERROR(IF(INDEX(Zuteilungen!$H$2:$H$200,MATCH(50,Zuteilungen!$J$2:$J$200,0))="","",INDEX(Zuteilungen!$H$2:$H$200,MATCH(50,Zuteilungen!$J$2:$J$200,0))),"")</f>
        <v/>
      </c>
      <c r="I54" s="63" t="str">
        <f>IFERROR(IF(INDEX(Zuteilungen!$I$2:$I$200,MATCH(50,Zuteilungen!$J$2:$J$200,0))="","",INDEX(Zuteilungen!$I$2:$I$200,MATCH(50,Zuteilungen!$J$2:$J$200,0))),"")</f>
        <v/>
      </c>
    </row>
    <row r="55" spans="1:9" x14ac:dyDescent="0.25">
      <c r="A55" s="34" t="str">
        <f>IFERROR(IF(MATCH(51,Zuteilungen!$J$2:$J$200,0)&gt;0,51,""),"")</f>
        <v/>
      </c>
      <c r="B55" s="34" t="str">
        <f>IFERROR(IF(INDEX(Zuteilungen!$A$2:$A$200,MATCH(51,Zuteilungen!$J$2:$J$200,0))="","",INDEX(Zuteilungen!$A$2:$A$200,MATCH(51,Zuteilungen!$J$2:$J$200,0))),"")</f>
        <v/>
      </c>
      <c r="C55" s="13" t="str">
        <f>IFERROR(IF(INDEX(Zuteilungen!$B$2:$B$200,MATCH(51,Zuteilungen!$J$2:$J$200,0))="","",INDEX(Zuteilungen!$B$2:$B$200,MATCH(51,Zuteilungen!$J$2:$J$200,0))),"")</f>
        <v/>
      </c>
      <c r="D55" s="12" t="str">
        <f>IFERROR(IF(INDEX(Zuteilungen!$C$2:$C$200,MATCH(51,Zuteilungen!$J$2:$J$200,0))="","",INDEX(Zuteilungen!$C$2:$C$200,MATCH(51,Zuteilungen!$J$2:$J$200,0))),"")</f>
        <v/>
      </c>
      <c r="E55" s="12" t="str">
        <f>IFERROR(IF(INDEX(Zuteilungen!$D$2:$D$200,MATCH(51,Zuteilungen!$J$2:$J$200,0))="","",INDEX(Zuteilungen!$D$2:$D$200,MATCH(51,Zuteilungen!$J$2:$J$200,0))),"")</f>
        <v/>
      </c>
      <c r="F55" s="12" t="str">
        <f>IFERROR(IF(INDEX(Zuteilungen!$E$2:$E$200,MATCH(51,Zuteilungen!$J$2:$J$200,0))="","",INDEX(Zuteilungen!$E$2:$E$200,MATCH(51,Zuteilungen!$J$2:$J$200,0))),"")</f>
        <v/>
      </c>
      <c r="G55" s="34" t="str">
        <f>IFERROR(IF(INDEX(Zuteilungen!$F$2:$F$200,MATCH(51,Zuteilungen!$J$2:$J$200,0))="","",INDEX(Zuteilungen!$F$2:$F$200,MATCH(51,Zuteilungen!$J$2:$J$200,0))),"")</f>
        <v/>
      </c>
      <c r="H55" s="60" t="str">
        <f>IFERROR(IF(INDEX(Zuteilungen!$H$2:$H$200,MATCH(51,Zuteilungen!$J$2:$J$200,0))="","",INDEX(Zuteilungen!$H$2:$H$200,MATCH(51,Zuteilungen!$J$2:$J$200,0))),"")</f>
        <v/>
      </c>
      <c r="I55" s="61" t="str">
        <f>IFERROR(IF(INDEX(Zuteilungen!$I$2:$I$200,MATCH(51,Zuteilungen!$J$2:$J$200,0))="","",INDEX(Zuteilungen!$I$2:$I$200,MATCH(51,Zuteilungen!$J$2:$J$200,0))),"")</f>
        <v/>
      </c>
    </row>
    <row r="56" spans="1:9" x14ac:dyDescent="0.25">
      <c r="A56" s="30" t="str">
        <f>IFERROR(IF(MATCH(52,Zuteilungen!$J$2:$J$200,0)&gt;0,52,""),"")</f>
        <v/>
      </c>
      <c r="B56" s="30" t="str">
        <f>IFERROR(IF(INDEX(Zuteilungen!$A$2:$A$200,MATCH(52,Zuteilungen!$J$2:$J$200,0))="","",INDEX(Zuteilungen!$A$2:$A$200,MATCH(52,Zuteilungen!$J$2:$J$200,0))),"")</f>
        <v/>
      </c>
      <c r="C56" s="16" t="str">
        <f>IFERROR(IF(INDEX(Zuteilungen!$B$2:$B$200,MATCH(52,Zuteilungen!$J$2:$J$200,0))="","",INDEX(Zuteilungen!$B$2:$B$200,MATCH(52,Zuteilungen!$J$2:$J$200,0))),"")</f>
        <v/>
      </c>
      <c r="D56" s="15" t="str">
        <f>IFERROR(IF(INDEX(Zuteilungen!$C$2:$C$200,MATCH(52,Zuteilungen!$J$2:$J$200,0))="","",INDEX(Zuteilungen!$C$2:$C$200,MATCH(52,Zuteilungen!$J$2:$J$200,0))),"")</f>
        <v/>
      </c>
      <c r="E56" s="15" t="str">
        <f>IFERROR(IF(INDEX(Zuteilungen!$D$2:$D$200,MATCH(52,Zuteilungen!$J$2:$J$200,0))="","",INDEX(Zuteilungen!$D$2:$D$200,MATCH(52,Zuteilungen!$J$2:$J$200,0))),"")</f>
        <v/>
      </c>
      <c r="F56" s="15" t="str">
        <f>IFERROR(IF(INDEX(Zuteilungen!$E$2:$E$200,MATCH(52,Zuteilungen!$J$2:$J$200,0))="","",INDEX(Zuteilungen!$E$2:$E$200,MATCH(52,Zuteilungen!$J$2:$J$200,0))),"")</f>
        <v/>
      </c>
      <c r="G56" s="30" t="str">
        <f>IFERROR(IF(INDEX(Zuteilungen!$F$2:$F$200,MATCH(52,Zuteilungen!$J$2:$J$200,0))="","",INDEX(Zuteilungen!$F$2:$F$200,MATCH(52,Zuteilungen!$J$2:$J$200,0))),"")</f>
        <v/>
      </c>
      <c r="H56" s="62" t="str">
        <f>IFERROR(IF(INDEX(Zuteilungen!$H$2:$H$200,MATCH(52,Zuteilungen!$J$2:$J$200,0))="","",INDEX(Zuteilungen!$H$2:$H$200,MATCH(52,Zuteilungen!$J$2:$J$200,0))),"")</f>
        <v/>
      </c>
      <c r="I56" s="63" t="str">
        <f>IFERROR(IF(INDEX(Zuteilungen!$I$2:$I$200,MATCH(52,Zuteilungen!$J$2:$J$200,0))="","",INDEX(Zuteilungen!$I$2:$I$200,MATCH(52,Zuteilungen!$J$2:$J$200,0))),"")</f>
        <v/>
      </c>
    </row>
    <row r="57" spans="1:9" x14ac:dyDescent="0.25">
      <c r="A57" s="34" t="str">
        <f>IFERROR(IF(MATCH(53,Zuteilungen!$J$2:$J$200,0)&gt;0,53,""),"")</f>
        <v/>
      </c>
      <c r="B57" s="34" t="str">
        <f>IFERROR(IF(INDEX(Zuteilungen!$A$2:$A$200,MATCH(53,Zuteilungen!$J$2:$J$200,0))="","",INDEX(Zuteilungen!$A$2:$A$200,MATCH(53,Zuteilungen!$J$2:$J$200,0))),"")</f>
        <v/>
      </c>
      <c r="C57" s="13" t="str">
        <f>IFERROR(IF(INDEX(Zuteilungen!$B$2:$B$200,MATCH(53,Zuteilungen!$J$2:$J$200,0))="","",INDEX(Zuteilungen!$B$2:$B$200,MATCH(53,Zuteilungen!$J$2:$J$200,0))),"")</f>
        <v/>
      </c>
      <c r="D57" s="12" t="str">
        <f>IFERROR(IF(INDEX(Zuteilungen!$C$2:$C$200,MATCH(53,Zuteilungen!$J$2:$J$200,0))="","",INDEX(Zuteilungen!$C$2:$C$200,MATCH(53,Zuteilungen!$J$2:$J$200,0))),"")</f>
        <v/>
      </c>
      <c r="E57" s="12" t="str">
        <f>IFERROR(IF(INDEX(Zuteilungen!$D$2:$D$200,MATCH(53,Zuteilungen!$J$2:$J$200,0))="","",INDEX(Zuteilungen!$D$2:$D$200,MATCH(53,Zuteilungen!$J$2:$J$200,0))),"")</f>
        <v/>
      </c>
      <c r="F57" s="12" t="str">
        <f>IFERROR(IF(INDEX(Zuteilungen!$E$2:$E$200,MATCH(53,Zuteilungen!$J$2:$J$200,0))="","",INDEX(Zuteilungen!$E$2:$E$200,MATCH(53,Zuteilungen!$J$2:$J$200,0))),"")</f>
        <v/>
      </c>
      <c r="G57" s="34" t="str">
        <f>IFERROR(IF(INDEX(Zuteilungen!$F$2:$F$200,MATCH(53,Zuteilungen!$J$2:$J$200,0))="","",INDEX(Zuteilungen!$F$2:$F$200,MATCH(53,Zuteilungen!$J$2:$J$200,0))),"")</f>
        <v/>
      </c>
      <c r="H57" s="60" t="str">
        <f>IFERROR(IF(INDEX(Zuteilungen!$H$2:$H$200,MATCH(53,Zuteilungen!$J$2:$J$200,0))="","",INDEX(Zuteilungen!$H$2:$H$200,MATCH(53,Zuteilungen!$J$2:$J$200,0))),"")</f>
        <v/>
      </c>
      <c r="I57" s="61" t="str">
        <f>IFERROR(IF(INDEX(Zuteilungen!$I$2:$I$200,MATCH(53,Zuteilungen!$J$2:$J$200,0))="","",INDEX(Zuteilungen!$I$2:$I$200,MATCH(53,Zuteilungen!$J$2:$J$200,0))),"")</f>
        <v/>
      </c>
    </row>
    <row r="58" spans="1:9" x14ac:dyDescent="0.25">
      <c r="A58" s="30" t="str">
        <f>IFERROR(IF(MATCH(54,Zuteilungen!$J$2:$J$200,0)&gt;0,54,""),"")</f>
        <v/>
      </c>
      <c r="B58" s="30" t="str">
        <f>IFERROR(IF(INDEX(Zuteilungen!$A$2:$A$200,MATCH(54,Zuteilungen!$J$2:$J$200,0))="","",INDEX(Zuteilungen!$A$2:$A$200,MATCH(54,Zuteilungen!$J$2:$J$200,0))),"")</f>
        <v/>
      </c>
      <c r="C58" s="16" t="str">
        <f>IFERROR(IF(INDEX(Zuteilungen!$B$2:$B$200,MATCH(54,Zuteilungen!$J$2:$J$200,0))="","",INDEX(Zuteilungen!$B$2:$B$200,MATCH(54,Zuteilungen!$J$2:$J$200,0))),"")</f>
        <v/>
      </c>
      <c r="D58" s="15" t="str">
        <f>IFERROR(IF(INDEX(Zuteilungen!$C$2:$C$200,MATCH(54,Zuteilungen!$J$2:$J$200,0))="","",INDEX(Zuteilungen!$C$2:$C$200,MATCH(54,Zuteilungen!$J$2:$J$200,0))),"")</f>
        <v/>
      </c>
      <c r="E58" s="15" t="str">
        <f>IFERROR(IF(INDEX(Zuteilungen!$D$2:$D$200,MATCH(54,Zuteilungen!$J$2:$J$200,0))="","",INDEX(Zuteilungen!$D$2:$D$200,MATCH(54,Zuteilungen!$J$2:$J$200,0))),"")</f>
        <v/>
      </c>
      <c r="F58" s="15" t="str">
        <f>IFERROR(IF(INDEX(Zuteilungen!$E$2:$E$200,MATCH(54,Zuteilungen!$J$2:$J$200,0))="","",INDEX(Zuteilungen!$E$2:$E$200,MATCH(54,Zuteilungen!$J$2:$J$200,0))),"")</f>
        <v/>
      </c>
      <c r="G58" s="30" t="str">
        <f>IFERROR(IF(INDEX(Zuteilungen!$F$2:$F$200,MATCH(54,Zuteilungen!$J$2:$J$200,0))="","",INDEX(Zuteilungen!$F$2:$F$200,MATCH(54,Zuteilungen!$J$2:$J$200,0))),"")</f>
        <v/>
      </c>
      <c r="H58" s="62" t="str">
        <f>IFERROR(IF(INDEX(Zuteilungen!$H$2:$H$200,MATCH(54,Zuteilungen!$J$2:$J$200,0))="","",INDEX(Zuteilungen!$H$2:$H$200,MATCH(54,Zuteilungen!$J$2:$J$200,0))),"")</f>
        <v/>
      </c>
      <c r="I58" s="63" t="str">
        <f>IFERROR(IF(INDEX(Zuteilungen!$I$2:$I$200,MATCH(54,Zuteilungen!$J$2:$J$200,0))="","",INDEX(Zuteilungen!$I$2:$I$200,MATCH(54,Zuteilungen!$J$2:$J$200,0))),"")</f>
        <v/>
      </c>
    </row>
    <row r="59" spans="1:9" x14ac:dyDescent="0.25">
      <c r="A59" s="34" t="str">
        <f>IFERROR(IF(MATCH(55,Zuteilungen!$J$2:$J$200,0)&gt;0,55,""),"")</f>
        <v/>
      </c>
      <c r="B59" s="34" t="str">
        <f>IFERROR(IF(INDEX(Zuteilungen!$A$2:$A$200,MATCH(55,Zuteilungen!$J$2:$J$200,0))="","",INDEX(Zuteilungen!$A$2:$A$200,MATCH(55,Zuteilungen!$J$2:$J$200,0))),"")</f>
        <v/>
      </c>
      <c r="C59" s="13" t="str">
        <f>IFERROR(IF(INDEX(Zuteilungen!$B$2:$B$200,MATCH(55,Zuteilungen!$J$2:$J$200,0))="","",INDEX(Zuteilungen!$B$2:$B$200,MATCH(55,Zuteilungen!$J$2:$J$200,0))),"")</f>
        <v/>
      </c>
      <c r="D59" s="12" t="str">
        <f>IFERROR(IF(INDEX(Zuteilungen!$C$2:$C$200,MATCH(55,Zuteilungen!$J$2:$J$200,0))="","",INDEX(Zuteilungen!$C$2:$C$200,MATCH(55,Zuteilungen!$J$2:$J$200,0))),"")</f>
        <v/>
      </c>
      <c r="E59" s="12" t="str">
        <f>IFERROR(IF(INDEX(Zuteilungen!$D$2:$D$200,MATCH(55,Zuteilungen!$J$2:$J$200,0))="","",INDEX(Zuteilungen!$D$2:$D$200,MATCH(55,Zuteilungen!$J$2:$J$200,0))),"")</f>
        <v/>
      </c>
      <c r="F59" s="12" t="str">
        <f>IFERROR(IF(INDEX(Zuteilungen!$E$2:$E$200,MATCH(55,Zuteilungen!$J$2:$J$200,0))="","",INDEX(Zuteilungen!$E$2:$E$200,MATCH(55,Zuteilungen!$J$2:$J$200,0))),"")</f>
        <v/>
      </c>
      <c r="G59" s="34" t="str">
        <f>IFERROR(IF(INDEX(Zuteilungen!$F$2:$F$200,MATCH(55,Zuteilungen!$J$2:$J$200,0))="","",INDEX(Zuteilungen!$F$2:$F$200,MATCH(55,Zuteilungen!$J$2:$J$200,0))),"")</f>
        <v/>
      </c>
      <c r="H59" s="60" t="str">
        <f>IFERROR(IF(INDEX(Zuteilungen!$H$2:$H$200,MATCH(55,Zuteilungen!$J$2:$J$200,0))="","",INDEX(Zuteilungen!$H$2:$H$200,MATCH(55,Zuteilungen!$J$2:$J$200,0))),"")</f>
        <v/>
      </c>
      <c r="I59" s="61" t="str">
        <f>IFERROR(IF(INDEX(Zuteilungen!$I$2:$I$200,MATCH(55,Zuteilungen!$J$2:$J$200,0))="","",INDEX(Zuteilungen!$I$2:$I$200,MATCH(55,Zuteilungen!$J$2:$J$200,0))),"")</f>
        <v/>
      </c>
    </row>
    <row r="60" spans="1:9" x14ac:dyDescent="0.25">
      <c r="A60" s="30" t="str">
        <f>IFERROR(IF(MATCH(56,Zuteilungen!$J$2:$J$200,0)&gt;0,56,""),"")</f>
        <v/>
      </c>
      <c r="B60" s="30" t="str">
        <f>IFERROR(IF(INDEX(Zuteilungen!$A$2:$A$200,MATCH(56,Zuteilungen!$J$2:$J$200,0))="","",INDEX(Zuteilungen!$A$2:$A$200,MATCH(56,Zuteilungen!$J$2:$J$200,0))),"")</f>
        <v/>
      </c>
      <c r="C60" s="16" t="str">
        <f>IFERROR(IF(INDEX(Zuteilungen!$B$2:$B$200,MATCH(56,Zuteilungen!$J$2:$J$200,0))="","",INDEX(Zuteilungen!$B$2:$B$200,MATCH(56,Zuteilungen!$J$2:$J$200,0))),"")</f>
        <v/>
      </c>
      <c r="D60" s="15" t="str">
        <f>IFERROR(IF(INDEX(Zuteilungen!$C$2:$C$200,MATCH(56,Zuteilungen!$J$2:$J$200,0))="","",INDEX(Zuteilungen!$C$2:$C$200,MATCH(56,Zuteilungen!$J$2:$J$200,0))),"")</f>
        <v/>
      </c>
      <c r="E60" s="15" t="str">
        <f>IFERROR(IF(INDEX(Zuteilungen!$D$2:$D$200,MATCH(56,Zuteilungen!$J$2:$J$200,0))="","",INDEX(Zuteilungen!$D$2:$D$200,MATCH(56,Zuteilungen!$J$2:$J$200,0))),"")</f>
        <v/>
      </c>
      <c r="F60" s="15" t="str">
        <f>IFERROR(IF(INDEX(Zuteilungen!$E$2:$E$200,MATCH(56,Zuteilungen!$J$2:$J$200,0))="","",INDEX(Zuteilungen!$E$2:$E$200,MATCH(56,Zuteilungen!$J$2:$J$200,0))),"")</f>
        <v/>
      </c>
      <c r="G60" s="30" t="str">
        <f>IFERROR(IF(INDEX(Zuteilungen!$F$2:$F$200,MATCH(56,Zuteilungen!$J$2:$J$200,0))="","",INDEX(Zuteilungen!$F$2:$F$200,MATCH(56,Zuteilungen!$J$2:$J$200,0))),"")</f>
        <v/>
      </c>
      <c r="H60" s="62" t="str">
        <f>IFERROR(IF(INDEX(Zuteilungen!$H$2:$H$200,MATCH(56,Zuteilungen!$J$2:$J$200,0))="","",INDEX(Zuteilungen!$H$2:$H$200,MATCH(56,Zuteilungen!$J$2:$J$200,0))),"")</f>
        <v/>
      </c>
      <c r="I60" s="63" t="str">
        <f>IFERROR(IF(INDEX(Zuteilungen!$I$2:$I$200,MATCH(56,Zuteilungen!$J$2:$J$200,0))="","",INDEX(Zuteilungen!$I$2:$I$200,MATCH(56,Zuteilungen!$J$2:$J$200,0))),"")</f>
        <v/>
      </c>
    </row>
    <row r="61" spans="1:9" x14ac:dyDescent="0.25">
      <c r="A61" s="34" t="str">
        <f>IFERROR(IF(MATCH(57,Zuteilungen!$J$2:$J$200,0)&gt;0,57,""),"")</f>
        <v/>
      </c>
      <c r="B61" s="34" t="str">
        <f>IFERROR(IF(INDEX(Zuteilungen!$A$2:$A$200,MATCH(57,Zuteilungen!$J$2:$J$200,0))="","",INDEX(Zuteilungen!$A$2:$A$200,MATCH(57,Zuteilungen!$J$2:$J$200,0))),"")</f>
        <v/>
      </c>
      <c r="C61" s="13" t="str">
        <f>IFERROR(IF(INDEX(Zuteilungen!$B$2:$B$200,MATCH(57,Zuteilungen!$J$2:$J$200,0))="","",INDEX(Zuteilungen!$B$2:$B$200,MATCH(57,Zuteilungen!$J$2:$J$200,0))),"")</f>
        <v/>
      </c>
      <c r="D61" s="12" t="str">
        <f>IFERROR(IF(INDEX(Zuteilungen!$C$2:$C$200,MATCH(57,Zuteilungen!$J$2:$J$200,0))="","",INDEX(Zuteilungen!$C$2:$C$200,MATCH(57,Zuteilungen!$J$2:$J$200,0))),"")</f>
        <v/>
      </c>
      <c r="E61" s="12" t="str">
        <f>IFERROR(IF(INDEX(Zuteilungen!$D$2:$D$200,MATCH(57,Zuteilungen!$J$2:$J$200,0))="","",INDEX(Zuteilungen!$D$2:$D$200,MATCH(57,Zuteilungen!$J$2:$J$200,0))),"")</f>
        <v/>
      </c>
      <c r="F61" s="12" t="str">
        <f>IFERROR(IF(INDEX(Zuteilungen!$E$2:$E$200,MATCH(57,Zuteilungen!$J$2:$J$200,0))="","",INDEX(Zuteilungen!$E$2:$E$200,MATCH(57,Zuteilungen!$J$2:$J$200,0))),"")</f>
        <v/>
      </c>
      <c r="G61" s="34" t="str">
        <f>IFERROR(IF(INDEX(Zuteilungen!$F$2:$F$200,MATCH(57,Zuteilungen!$J$2:$J$200,0))="","",INDEX(Zuteilungen!$F$2:$F$200,MATCH(57,Zuteilungen!$J$2:$J$200,0))),"")</f>
        <v/>
      </c>
      <c r="H61" s="60" t="str">
        <f>IFERROR(IF(INDEX(Zuteilungen!$H$2:$H$200,MATCH(57,Zuteilungen!$J$2:$J$200,0))="","",INDEX(Zuteilungen!$H$2:$H$200,MATCH(57,Zuteilungen!$J$2:$J$200,0))),"")</f>
        <v/>
      </c>
      <c r="I61" s="61" t="str">
        <f>IFERROR(IF(INDEX(Zuteilungen!$I$2:$I$200,MATCH(57,Zuteilungen!$J$2:$J$200,0))="","",INDEX(Zuteilungen!$I$2:$I$200,MATCH(57,Zuteilungen!$J$2:$J$200,0))),"")</f>
        <v/>
      </c>
    </row>
    <row r="62" spans="1:9" x14ac:dyDescent="0.25">
      <c r="A62" s="30" t="str">
        <f>IFERROR(IF(MATCH(58,Zuteilungen!$J$2:$J$200,0)&gt;0,58,""),"")</f>
        <v/>
      </c>
      <c r="B62" s="30" t="str">
        <f>IFERROR(IF(INDEX(Zuteilungen!$A$2:$A$200,MATCH(58,Zuteilungen!$J$2:$J$200,0))="","",INDEX(Zuteilungen!$A$2:$A$200,MATCH(58,Zuteilungen!$J$2:$J$200,0))),"")</f>
        <v/>
      </c>
      <c r="C62" s="16" t="str">
        <f>IFERROR(IF(INDEX(Zuteilungen!$B$2:$B$200,MATCH(58,Zuteilungen!$J$2:$J$200,0))="","",INDEX(Zuteilungen!$B$2:$B$200,MATCH(58,Zuteilungen!$J$2:$J$200,0))),"")</f>
        <v/>
      </c>
      <c r="D62" s="15" t="str">
        <f>IFERROR(IF(INDEX(Zuteilungen!$C$2:$C$200,MATCH(58,Zuteilungen!$J$2:$J$200,0))="","",INDEX(Zuteilungen!$C$2:$C$200,MATCH(58,Zuteilungen!$J$2:$J$200,0))),"")</f>
        <v/>
      </c>
      <c r="E62" s="15" t="str">
        <f>IFERROR(IF(INDEX(Zuteilungen!$D$2:$D$200,MATCH(58,Zuteilungen!$J$2:$J$200,0))="","",INDEX(Zuteilungen!$D$2:$D$200,MATCH(58,Zuteilungen!$J$2:$J$200,0))),"")</f>
        <v/>
      </c>
      <c r="F62" s="15" t="str">
        <f>IFERROR(IF(INDEX(Zuteilungen!$E$2:$E$200,MATCH(58,Zuteilungen!$J$2:$J$200,0))="","",INDEX(Zuteilungen!$E$2:$E$200,MATCH(58,Zuteilungen!$J$2:$J$200,0))),"")</f>
        <v/>
      </c>
      <c r="G62" s="30" t="str">
        <f>IFERROR(IF(INDEX(Zuteilungen!$F$2:$F$200,MATCH(58,Zuteilungen!$J$2:$J$200,0))="","",INDEX(Zuteilungen!$F$2:$F$200,MATCH(58,Zuteilungen!$J$2:$J$200,0))),"")</f>
        <v/>
      </c>
      <c r="H62" s="62" t="str">
        <f>IFERROR(IF(INDEX(Zuteilungen!$H$2:$H$200,MATCH(58,Zuteilungen!$J$2:$J$200,0))="","",INDEX(Zuteilungen!$H$2:$H$200,MATCH(58,Zuteilungen!$J$2:$J$200,0))),"")</f>
        <v/>
      </c>
      <c r="I62" s="63" t="str">
        <f>IFERROR(IF(INDEX(Zuteilungen!$I$2:$I$200,MATCH(58,Zuteilungen!$J$2:$J$200,0))="","",INDEX(Zuteilungen!$I$2:$I$200,MATCH(58,Zuteilungen!$J$2:$J$200,0))),"")</f>
        <v/>
      </c>
    </row>
    <row r="63" spans="1:9" x14ac:dyDescent="0.25">
      <c r="A63" s="34" t="str">
        <f>IFERROR(IF(MATCH(59,Zuteilungen!$J$2:$J$200,0)&gt;0,59,""),"")</f>
        <v/>
      </c>
      <c r="B63" s="34" t="str">
        <f>IFERROR(IF(INDEX(Zuteilungen!$A$2:$A$200,MATCH(59,Zuteilungen!$J$2:$J$200,0))="","",INDEX(Zuteilungen!$A$2:$A$200,MATCH(59,Zuteilungen!$J$2:$J$200,0))),"")</f>
        <v/>
      </c>
      <c r="C63" s="13" t="str">
        <f>IFERROR(IF(INDEX(Zuteilungen!$B$2:$B$200,MATCH(59,Zuteilungen!$J$2:$J$200,0))="","",INDEX(Zuteilungen!$B$2:$B$200,MATCH(59,Zuteilungen!$J$2:$J$200,0))),"")</f>
        <v/>
      </c>
      <c r="D63" s="12" t="str">
        <f>IFERROR(IF(INDEX(Zuteilungen!$C$2:$C$200,MATCH(59,Zuteilungen!$J$2:$J$200,0))="","",INDEX(Zuteilungen!$C$2:$C$200,MATCH(59,Zuteilungen!$J$2:$J$200,0))),"")</f>
        <v/>
      </c>
      <c r="E63" s="12" t="str">
        <f>IFERROR(IF(INDEX(Zuteilungen!$D$2:$D$200,MATCH(59,Zuteilungen!$J$2:$J$200,0))="","",INDEX(Zuteilungen!$D$2:$D$200,MATCH(59,Zuteilungen!$J$2:$J$200,0))),"")</f>
        <v/>
      </c>
      <c r="F63" s="12" t="str">
        <f>IFERROR(IF(INDEX(Zuteilungen!$E$2:$E$200,MATCH(59,Zuteilungen!$J$2:$J$200,0))="","",INDEX(Zuteilungen!$E$2:$E$200,MATCH(59,Zuteilungen!$J$2:$J$200,0))),"")</f>
        <v/>
      </c>
      <c r="G63" s="34" t="str">
        <f>IFERROR(IF(INDEX(Zuteilungen!$F$2:$F$200,MATCH(59,Zuteilungen!$J$2:$J$200,0))="","",INDEX(Zuteilungen!$F$2:$F$200,MATCH(59,Zuteilungen!$J$2:$J$200,0))),"")</f>
        <v/>
      </c>
      <c r="H63" s="60" t="str">
        <f>IFERROR(IF(INDEX(Zuteilungen!$H$2:$H$200,MATCH(59,Zuteilungen!$J$2:$J$200,0))="","",INDEX(Zuteilungen!$H$2:$H$200,MATCH(59,Zuteilungen!$J$2:$J$200,0))),"")</f>
        <v/>
      </c>
      <c r="I63" s="61" t="str">
        <f>IFERROR(IF(INDEX(Zuteilungen!$I$2:$I$200,MATCH(59,Zuteilungen!$J$2:$J$200,0))="","",INDEX(Zuteilungen!$I$2:$I$200,MATCH(59,Zuteilungen!$J$2:$J$200,0))),"")</f>
        <v/>
      </c>
    </row>
    <row r="64" spans="1:9" x14ac:dyDescent="0.25">
      <c r="A64" s="30" t="str">
        <f>IFERROR(IF(MATCH(60,Zuteilungen!$J$2:$J$200,0)&gt;0,60,""),"")</f>
        <v/>
      </c>
      <c r="B64" s="30" t="str">
        <f>IFERROR(IF(INDEX(Zuteilungen!$A$2:$A$200,MATCH(60,Zuteilungen!$J$2:$J$200,0))="","",INDEX(Zuteilungen!$A$2:$A$200,MATCH(60,Zuteilungen!$J$2:$J$200,0))),"")</f>
        <v/>
      </c>
      <c r="C64" s="16" t="str">
        <f>IFERROR(IF(INDEX(Zuteilungen!$B$2:$B$200,MATCH(60,Zuteilungen!$J$2:$J$200,0))="","",INDEX(Zuteilungen!$B$2:$B$200,MATCH(60,Zuteilungen!$J$2:$J$200,0))),"")</f>
        <v/>
      </c>
      <c r="D64" s="15" t="str">
        <f>IFERROR(IF(INDEX(Zuteilungen!$C$2:$C$200,MATCH(60,Zuteilungen!$J$2:$J$200,0))="","",INDEX(Zuteilungen!$C$2:$C$200,MATCH(60,Zuteilungen!$J$2:$J$200,0))),"")</f>
        <v/>
      </c>
      <c r="E64" s="15" t="str">
        <f>IFERROR(IF(INDEX(Zuteilungen!$D$2:$D$200,MATCH(60,Zuteilungen!$J$2:$J$200,0))="","",INDEX(Zuteilungen!$D$2:$D$200,MATCH(60,Zuteilungen!$J$2:$J$200,0))),"")</f>
        <v/>
      </c>
      <c r="F64" s="15" t="str">
        <f>IFERROR(IF(INDEX(Zuteilungen!$E$2:$E$200,MATCH(60,Zuteilungen!$J$2:$J$200,0))="","",INDEX(Zuteilungen!$E$2:$E$200,MATCH(60,Zuteilungen!$J$2:$J$200,0))),"")</f>
        <v/>
      </c>
      <c r="G64" s="30" t="str">
        <f>IFERROR(IF(INDEX(Zuteilungen!$F$2:$F$200,MATCH(60,Zuteilungen!$J$2:$J$200,0))="","",INDEX(Zuteilungen!$F$2:$F$200,MATCH(60,Zuteilungen!$J$2:$J$200,0))),"")</f>
        <v/>
      </c>
      <c r="H64" s="62" t="str">
        <f>IFERROR(IF(INDEX(Zuteilungen!$H$2:$H$200,MATCH(60,Zuteilungen!$J$2:$J$200,0))="","",INDEX(Zuteilungen!$H$2:$H$200,MATCH(60,Zuteilungen!$J$2:$J$200,0))),"")</f>
        <v/>
      </c>
      <c r="I64" s="63" t="str">
        <f>IFERROR(IF(INDEX(Zuteilungen!$I$2:$I$200,MATCH(60,Zuteilungen!$J$2:$J$200,0))="","",INDEX(Zuteilungen!$I$2:$I$200,MATCH(60,Zuteilungen!$J$2:$J$200,0))),"")</f>
        <v/>
      </c>
    </row>
    <row r="66" spans="1:8" x14ac:dyDescent="0.25">
      <c r="E66" s="3" t="s">
        <v>177</v>
      </c>
      <c r="F66" s="3"/>
      <c r="G66" s="3"/>
      <c r="H66" s="26">
        <f>SUM(H5:H64)</f>
        <v>5</v>
      </c>
    </row>
    <row r="68" spans="1:8" x14ac:dyDescent="0.25">
      <c r="A68" s="7" t="s">
        <v>178</v>
      </c>
    </row>
  </sheetData>
  <mergeCells count="1">
    <mergeCell ref="E66:G66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2</vt:i4>
      </vt:variant>
    </vt:vector>
  </HeadingPairs>
  <TitlesOfParts>
    <vt:vector size="9" baseType="lpstr">
      <vt:lpstr>Uebersicht</vt:lpstr>
      <vt:lpstr>Original PDF</vt:lpstr>
      <vt:lpstr>Zuteilungen</vt:lpstr>
      <vt:lpstr>Stammdaten</vt:lpstr>
      <vt:lpstr>Pro Person</vt:lpstr>
      <vt:lpstr>Vor- und Nacharbeiten</vt:lpstr>
      <vt:lpstr>Korrekturen</vt:lpstr>
      <vt:lpstr>'Pro Person'!Drucktitel</vt:lpstr>
      <vt:lpstr>Zuteilungen!Drucktitel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Linggi Renato</cp:lastModifiedBy>
  <cp:revision>0</cp:revision>
  <dcterms:created xsi:type="dcterms:W3CDTF">2026-09-16T10:21:15Z</dcterms:created>
  <dcterms:modified xsi:type="dcterms:W3CDTF">2026-09-16T10:28:42Z</dcterms:modified>
  <dc:language>en-US</dc:language>
</cp:coreProperties>
</file>