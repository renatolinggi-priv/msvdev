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da8ce64773b58c14/SKSG SEKRETAER seit 2020 -gespeichert 02.06.2025/SKSG Reglemente und Beilagen -Standblätter etc/Kantonaler Spezialstich Gewehr und Pistole/"/>
    </mc:Choice>
  </mc:AlternateContent>
  <xr:revisionPtr revIDLastSave="1" documentId="8_{F53858DD-8D4E-4AEE-8057-18995130473F}" xr6:coauthVersionLast="47" xr6:coauthVersionMax="47" xr10:uidLastSave="{F9856C28-9377-4D01-BFB2-6DA896654613}"/>
  <bookViews>
    <workbookView xWindow="-195" yWindow="0" windowWidth="22695" windowHeight="14400" xr2:uid="{00000000-000D-0000-FFFF-FFFF00000000}"/>
  </bookViews>
  <sheets>
    <sheet name="Abrechnung" sheetId="1" r:id="rId1"/>
    <sheet name="Kontrollblatt" sheetId="4" r:id="rId2"/>
    <sheet name="Liste" sheetId="2" r:id="rId3"/>
  </sheets>
  <definedNames>
    <definedName name="_25m">Liste!$J$2:$J$3</definedName>
    <definedName name="_300m">Liste!$I$2:$I$7</definedName>
    <definedName name="_50m">Liste!$K$2:$K$4</definedName>
    <definedName name="Distanz">Liste!$A$2:$A$4</definedName>
    <definedName name="_xlnm.Print_Area" localSheetId="0">Abrechnung!$A$1:$G$43</definedName>
    <definedName name="_xlnm.Print_Area" localSheetId="1">Kontrollblatt!$A$1:$N$58</definedName>
    <definedName name="G300m">Liste!$C$2:$C$38</definedName>
    <definedName name="P25m">Liste!$D$2:$D$4</definedName>
    <definedName name="P50m">Liste!$E$2:$E$7</definedName>
    <definedName name="W25m">Liste!$J$2:$J$3</definedName>
    <definedName name="W300m">Liste!$I$2:$I$7</definedName>
    <definedName name="W50m">Liste!$K$2:$K$4</definedName>
    <definedName name="Waffe">Liste!$G$2:$G$4</definedName>
    <definedName name="Waffe_G300m">Liste!#REF!</definedName>
    <definedName name="Waffe_P25m">Liste!$J$2:$J$3</definedName>
    <definedName name="Waffe_P50m">Liste!$K$2:$K$4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2" i="4" l="1"/>
  <c r="F17" i="4" s="1"/>
  <c r="C14" i="4"/>
  <c r="E57" i="4"/>
  <c r="X57" i="4" s="1"/>
  <c r="L57" i="4" s="1"/>
  <c r="E56" i="4"/>
  <c r="X56" i="4" s="1"/>
  <c r="L56" i="4" s="1"/>
  <c r="E55" i="4"/>
  <c r="X55" i="4" s="1"/>
  <c r="L55" i="4" s="1"/>
  <c r="E54" i="4"/>
  <c r="X54" i="4" s="1"/>
  <c r="L54" i="4" s="1"/>
  <c r="E53" i="4"/>
  <c r="X53" i="4" s="1"/>
  <c r="L53" i="4" s="1"/>
  <c r="E52" i="4"/>
  <c r="X52" i="4" s="1"/>
  <c r="L52" i="4" s="1"/>
  <c r="E51" i="4"/>
  <c r="AB51" i="4" s="1"/>
  <c r="E50" i="4"/>
  <c r="X50" i="4" s="1"/>
  <c r="L50" i="4" s="1"/>
  <c r="E49" i="4"/>
  <c r="X49" i="4" s="1"/>
  <c r="L49" i="4" s="1"/>
  <c r="E48" i="4"/>
  <c r="AA48" i="4" s="1"/>
  <c r="E47" i="4"/>
  <c r="X47" i="4" s="1"/>
  <c r="L47" i="4" s="1"/>
  <c r="E46" i="4"/>
  <c r="X46" i="4" s="1"/>
  <c r="L46" i="4" s="1"/>
  <c r="E45" i="4"/>
  <c r="Z45" i="4" s="1"/>
  <c r="E44" i="4"/>
  <c r="X44" i="4" s="1"/>
  <c r="L44" i="4" s="1"/>
  <c r="E43" i="4"/>
  <c r="X43" i="4" s="1"/>
  <c r="L43" i="4" s="1"/>
  <c r="E42" i="4"/>
  <c r="Y42" i="4" s="1"/>
  <c r="E41" i="4"/>
  <c r="X41" i="4" s="1"/>
  <c r="L41" i="4" s="1"/>
  <c r="E40" i="4"/>
  <c r="X40" i="4" s="1"/>
  <c r="L40" i="4" s="1"/>
  <c r="E39" i="4"/>
  <c r="X39" i="4" s="1"/>
  <c r="L39" i="4" s="1"/>
  <c r="E38" i="4"/>
  <c r="X38" i="4" s="1"/>
  <c r="L38" i="4" s="1"/>
  <c r="E37" i="4"/>
  <c r="X37" i="4" s="1"/>
  <c r="L37" i="4" s="1"/>
  <c r="E36" i="4"/>
  <c r="X36" i="4" s="1"/>
  <c r="L36" i="4" s="1"/>
  <c r="E35" i="4"/>
  <c r="AB35" i="4" s="1"/>
  <c r="E34" i="4"/>
  <c r="X34" i="4" s="1"/>
  <c r="L34" i="4" s="1"/>
  <c r="E33" i="4"/>
  <c r="X33" i="4" s="1"/>
  <c r="L33" i="4" s="1"/>
  <c r="E32" i="4"/>
  <c r="AA32" i="4" s="1"/>
  <c r="E31" i="4"/>
  <c r="X31" i="4" s="1"/>
  <c r="L31" i="4" s="1"/>
  <c r="E30" i="4"/>
  <c r="X30" i="4" s="1"/>
  <c r="L30" i="4" s="1"/>
  <c r="E29" i="4"/>
  <c r="Z29" i="4" s="1"/>
  <c r="E28" i="4"/>
  <c r="X28" i="4" s="1"/>
  <c r="L28" i="4" s="1"/>
  <c r="E27" i="4"/>
  <c r="X27" i="4" s="1"/>
  <c r="L27" i="4" s="1"/>
  <c r="E26" i="4"/>
  <c r="Y26" i="4" s="1"/>
  <c r="E25" i="4"/>
  <c r="X25" i="4" s="1"/>
  <c r="L25" i="4" s="1"/>
  <c r="E24" i="4"/>
  <c r="X24" i="4" s="1"/>
  <c r="L24" i="4" s="1"/>
  <c r="E23" i="4"/>
  <c r="X23" i="4" s="1"/>
  <c r="L23" i="4" s="1"/>
  <c r="E22" i="4"/>
  <c r="X22" i="4" s="1"/>
  <c r="L22" i="4" s="1"/>
  <c r="E21" i="4"/>
  <c r="X21" i="4" s="1"/>
  <c r="L21" i="4" s="1"/>
  <c r="E20" i="4"/>
  <c r="X20" i="4" s="1"/>
  <c r="L20" i="4" s="1"/>
  <c r="Y45" i="4" l="1"/>
  <c r="AB54" i="4"/>
  <c r="AA51" i="4"/>
  <c r="X42" i="4"/>
  <c r="L42" i="4" s="1"/>
  <c r="AB38" i="4"/>
  <c r="AA35" i="4"/>
  <c r="Z32" i="4"/>
  <c r="Y29" i="4"/>
  <c r="X26" i="4"/>
  <c r="L26" i="4" s="1"/>
  <c r="N26" i="4" s="1"/>
  <c r="AB22" i="4"/>
  <c r="AB57" i="4"/>
  <c r="AA54" i="4"/>
  <c r="Z51" i="4"/>
  <c r="Y48" i="4"/>
  <c r="X45" i="4"/>
  <c r="L45" i="4" s="1"/>
  <c r="M45" i="4" s="1"/>
  <c r="AB41" i="4"/>
  <c r="AA38" i="4"/>
  <c r="Z35" i="4"/>
  <c r="Y32" i="4"/>
  <c r="X29" i="4"/>
  <c r="L29" i="4" s="1"/>
  <c r="N29" i="4" s="1"/>
  <c r="AB25" i="4"/>
  <c r="AA22" i="4"/>
  <c r="AA57" i="4"/>
  <c r="Z54" i="4"/>
  <c r="Y51" i="4"/>
  <c r="X48" i="4"/>
  <c r="L48" i="4" s="1"/>
  <c r="N48" i="4" s="1"/>
  <c r="AB44" i="4"/>
  <c r="AA41" i="4"/>
  <c r="Z38" i="4"/>
  <c r="Y35" i="4"/>
  <c r="X32" i="4"/>
  <c r="L32" i="4" s="1"/>
  <c r="N32" i="4" s="1"/>
  <c r="AB28" i="4"/>
  <c r="AA25" i="4"/>
  <c r="Z22" i="4"/>
  <c r="Z57" i="4"/>
  <c r="Y54" i="4"/>
  <c r="X51" i="4"/>
  <c r="L51" i="4" s="1"/>
  <c r="M51" i="4" s="1"/>
  <c r="AB47" i="4"/>
  <c r="AA44" i="4"/>
  <c r="Z41" i="4"/>
  <c r="Y38" i="4"/>
  <c r="X35" i="4"/>
  <c r="L35" i="4" s="1"/>
  <c r="M35" i="4" s="1"/>
  <c r="AB31" i="4"/>
  <c r="AA28" i="4"/>
  <c r="Z25" i="4"/>
  <c r="Y22" i="4"/>
  <c r="Y57" i="4"/>
  <c r="AB50" i="4"/>
  <c r="AA47" i="4"/>
  <c r="Z44" i="4"/>
  <c r="Y41" i="4"/>
  <c r="AB34" i="4"/>
  <c r="AA31" i="4"/>
  <c r="Z28" i="4"/>
  <c r="Y25" i="4"/>
  <c r="AB53" i="4"/>
  <c r="AA50" i="4"/>
  <c r="Z47" i="4"/>
  <c r="Y44" i="4"/>
  <c r="AB37" i="4"/>
  <c r="AA34" i="4"/>
  <c r="Z31" i="4"/>
  <c r="Y28" i="4"/>
  <c r="AB21" i="4"/>
  <c r="Z48" i="4"/>
  <c r="AB56" i="4"/>
  <c r="AA53" i="4"/>
  <c r="Z50" i="4"/>
  <c r="Y47" i="4"/>
  <c r="AB40" i="4"/>
  <c r="AA37" i="4"/>
  <c r="Z34" i="4"/>
  <c r="Y31" i="4"/>
  <c r="AB24" i="4"/>
  <c r="AA21" i="4"/>
  <c r="AA56" i="4"/>
  <c r="Z53" i="4"/>
  <c r="Y50" i="4"/>
  <c r="AB43" i="4"/>
  <c r="AA40" i="4"/>
  <c r="Z37" i="4"/>
  <c r="Y34" i="4"/>
  <c r="AB27" i="4"/>
  <c r="AA24" i="4"/>
  <c r="Z21" i="4"/>
  <c r="Z56" i="4"/>
  <c r="Y53" i="4"/>
  <c r="AB46" i="4"/>
  <c r="AA43" i="4"/>
  <c r="Z40" i="4"/>
  <c r="Y37" i="4"/>
  <c r="AB30" i="4"/>
  <c r="AA27" i="4"/>
  <c r="Z24" i="4"/>
  <c r="Y21" i="4"/>
  <c r="Y56" i="4"/>
  <c r="AB49" i="4"/>
  <c r="AA46" i="4"/>
  <c r="Z43" i="4"/>
  <c r="Y40" i="4"/>
  <c r="AB33" i="4"/>
  <c r="AA30" i="4"/>
  <c r="Z27" i="4"/>
  <c r="Y24" i="4"/>
  <c r="AB52" i="4"/>
  <c r="AA49" i="4"/>
  <c r="Z46" i="4"/>
  <c r="Y43" i="4"/>
  <c r="AB36" i="4"/>
  <c r="AA33" i="4"/>
  <c r="Z30" i="4"/>
  <c r="Y27" i="4"/>
  <c r="AB20" i="4"/>
  <c r="AB55" i="4"/>
  <c r="AA52" i="4"/>
  <c r="Z49" i="4"/>
  <c r="Y46" i="4"/>
  <c r="AB39" i="4"/>
  <c r="AA36" i="4"/>
  <c r="Z33" i="4"/>
  <c r="Y30" i="4"/>
  <c r="AB23" i="4"/>
  <c r="AA20" i="4"/>
  <c r="AA55" i="4"/>
  <c r="Z52" i="4"/>
  <c r="Y49" i="4"/>
  <c r="AB42" i="4"/>
  <c r="AA39" i="4"/>
  <c r="Z36" i="4"/>
  <c r="Y33" i="4"/>
  <c r="AB26" i="4"/>
  <c r="AA23" i="4"/>
  <c r="Z20" i="4"/>
  <c r="Z55" i="4"/>
  <c r="Y52" i="4"/>
  <c r="AB45" i="4"/>
  <c r="AA42" i="4"/>
  <c r="Z39" i="4"/>
  <c r="Y36" i="4"/>
  <c r="AB29" i="4"/>
  <c r="AA26" i="4"/>
  <c r="Z23" i="4"/>
  <c r="Y20" i="4"/>
  <c r="Y55" i="4"/>
  <c r="AB48" i="4"/>
  <c r="AA45" i="4"/>
  <c r="Z42" i="4"/>
  <c r="Y39" i="4"/>
  <c r="AB32" i="4"/>
  <c r="AA29" i="4"/>
  <c r="Z26" i="4"/>
  <c r="Y23" i="4"/>
  <c r="N20" i="4"/>
  <c r="N21" i="4"/>
  <c r="N22" i="4"/>
  <c r="N23" i="4"/>
  <c r="N24" i="4"/>
  <c r="N25" i="4"/>
  <c r="N27" i="4"/>
  <c r="N28" i="4"/>
  <c r="N30" i="4"/>
  <c r="N31" i="4"/>
  <c r="N33" i="4"/>
  <c r="N34" i="4"/>
  <c r="N36" i="4"/>
  <c r="N37" i="4"/>
  <c r="N38" i="4"/>
  <c r="N39" i="4"/>
  <c r="N40" i="4"/>
  <c r="N41" i="4"/>
  <c r="N42" i="4"/>
  <c r="N43" i="4"/>
  <c r="N44" i="4"/>
  <c r="N46" i="4"/>
  <c r="N47" i="4"/>
  <c r="N49" i="4"/>
  <c r="N50" i="4"/>
  <c r="N52" i="4"/>
  <c r="N53" i="4"/>
  <c r="N54" i="4"/>
  <c r="N55" i="4"/>
  <c r="N56" i="4"/>
  <c r="N57" i="4"/>
  <c r="M20" i="4"/>
  <c r="M21" i="4"/>
  <c r="M22" i="4"/>
  <c r="M23" i="4"/>
  <c r="M24" i="4"/>
  <c r="M25" i="4"/>
  <c r="M27" i="4"/>
  <c r="M28" i="4"/>
  <c r="M29" i="4"/>
  <c r="M30" i="4"/>
  <c r="M31" i="4"/>
  <c r="M33" i="4"/>
  <c r="M34" i="4"/>
  <c r="M36" i="4"/>
  <c r="M37" i="4"/>
  <c r="M38" i="4"/>
  <c r="M39" i="4"/>
  <c r="M40" i="4"/>
  <c r="M41" i="4"/>
  <c r="M42" i="4"/>
  <c r="M43" i="4"/>
  <c r="M44" i="4"/>
  <c r="M46" i="4"/>
  <c r="M47" i="4"/>
  <c r="M49" i="4"/>
  <c r="M50" i="4"/>
  <c r="M52" i="4"/>
  <c r="M53" i="4"/>
  <c r="M54" i="4"/>
  <c r="M55" i="4"/>
  <c r="M56" i="4"/>
  <c r="M57" i="4"/>
  <c r="M48" i="4" l="1"/>
  <c r="M26" i="4"/>
  <c r="N51" i="4"/>
  <c r="M32" i="4"/>
  <c r="N45" i="4"/>
  <c r="N35" i="4"/>
  <c r="K58" i="4"/>
  <c r="J58" i="4"/>
  <c r="I58" i="4"/>
  <c r="H58" i="4"/>
  <c r="G58" i="4"/>
  <c r="A26" i="1" s="1"/>
  <c r="G26" i="1" s="1"/>
  <c r="A27" i="1" l="1"/>
  <c r="G27" i="1" s="1"/>
  <c r="G29" i="1" s="1"/>
  <c r="G12" i="1"/>
  <c r="C10" i="4" s="1"/>
  <c r="E19" i="4" s="1"/>
  <c r="AB19" i="4" l="1"/>
  <c r="X19" i="4"/>
  <c r="Y19" i="4"/>
  <c r="Z19" i="4"/>
  <c r="AA19" i="4"/>
  <c r="E18" i="4"/>
  <c r="X18" i="4" s="1"/>
  <c r="A10" i="1"/>
  <c r="C40" i="1" s="1"/>
  <c r="Y18" i="4" l="1"/>
  <c r="Z18" i="4"/>
  <c r="AA18" i="4"/>
  <c r="AB18" i="4"/>
  <c r="L19" i="4"/>
  <c r="L18" i="4" l="1"/>
  <c r="N18" i="4" s="1"/>
  <c r="N58" i="4" s="1"/>
  <c r="N19" i="4"/>
  <c r="M19" i="4"/>
  <c r="M18" i="4" l="1"/>
  <c r="M58" i="4" s="1"/>
</calcChain>
</file>

<file path=xl/sharedStrings.xml><?xml version="1.0" encoding="utf-8"?>
<sst xmlns="http://schemas.openxmlformats.org/spreadsheetml/2006/main" count="175" uniqueCount="136">
  <si>
    <t>www.sksg.ch</t>
  </si>
  <si>
    <t>Verantwortlicher:</t>
  </si>
  <si>
    <t>Adresse:</t>
  </si>
  <si>
    <t>Datum:</t>
  </si>
  <si>
    <t>Distanz:</t>
  </si>
  <si>
    <t>P50m</t>
  </si>
  <si>
    <t>P25m</t>
  </si>
  <si>
    <t>Total</t>
  </si>
  <si>
    <t>Pkt.</t>
  </si>
  <si>
    <t>KK</t>
  </si>
  <si>
    <t>3. ND</t>
  </si>
  <si>
    <t>2. ND</t>
  </si>
  <si>
    <t>1. ND</t>
  </si>
  <si>
    <t>HD</t>
  </si>
  <si>
    <t>JG</t>
  </si>
  <si>
    <t>Vorname</t>
  </si>
  <si>
    <t>Name</t>
  </si>
  <si>
    <t>Brunnen, PS</t>
  </si>
  <si>
    <t>Einsiedeln, PS</t>
  </si>
  <si>
    <t>Pistolenschützen am Rigi</t>
  </si>
  <si>
    <t>Lachen-Altendorf, PS</t>
  </si>
  <si>
    <t>Pfäffikon, PS am Etzel</t>
  </si>
  <si>
    <t>Schwyz, PS UOV</t>
  </si>
  <si>
    <t>Distanz</t>
  </si>
  <si>
    <t xml:space="preserve">Kontrollblatt Kantonaler Spezialstich </t>
  </si>
  <si>
    <t xml:space="preserve">Nr. </t>
  </si>
  <si>
    <t>Waffe</t>
  </si>
  <si>
    <t>Standardgewehr</t>
  </si>
  <si>
    <t>Karabiner</t>
  </si>
  <si>
    <t>Freigewehr</t>
  </si>
  <si>
    <t>OP 50m</t>
  </si>
  <si>
    <t>OP 25m</t>
  </si>
  <si>
    <t>SPK 25m</t>
  </si>
  <si>
    <t>FP 50m</t>
  </si>
  <si>
    <t>RF 50m</t>
  </si>
  <si>
    <t xml:space="preserve">4. ND </t>
  </si>
  <si>
    <t>10CHF</t>
  </si>
  <si>
    <t xml:space="preserve">KK </t>
  </si>
  <si>
    <t>12CHF</t>
  </si>
  <si>
    <t xml:space="preserve">Pkt. </t>
  </si>
  <si>
    <t>Email-Adresse:</t>
  </si>
  <si>
    <t>Stgw57/03</t>
  </si>
  <si>
    <t>Stgw57/02</t>
  </si>
  <si>
    <t>Stgw90</t>
  </si>
  <si>
    <t>E/S</t>
  </si>
  <si>
    <t xml:space="preserve">300m </t>
  </si>
  <si>
    <t>25m</t>
  </si>
  <si>
    <t>50m</t>
  </si>
  <si>
    <t xml:space="preserve">à CHF 13.00 </t>
  </si>
  <si>
    <t>=</t>
  </si>
  <si>
    <t>Anzahl Nachdoppel</t>
  </si>
  <si>
    <t xml:space="preserve">à CHF 3.00 </t>
  </si>
  <si>
    <t>Totalbetrag</t>
  </si>
  <si>
    <t xml:space="preserve">Der Totalbetrag ist bis spätestens 31. Oktober auf IBAN CH73 0077 7001 3003 0106 5 z.G. Schwyzer Kantonal-Schützengesellschaft, 6430 Schwyz zu überweisen. </t>
  </si>
  <si>
    <t xml:space="preserve">Für eine prompte Erledigung dankt der Vorstand. </t>
  </si>
  <si>
    <t>Kate-</t>
  </si>
  <si>
    <t>gorie</t>
  </si>
  <si>
    <t>U17</t>
  </si>
  <si>
    <t>U21</t>
  </si>
  <si>
    <t>V</t>
  </si>
  <si>
    <t>SV</t>
  </si>
  <si>
    <t>Anzahl Hauptdoppel</t>
  </si>
  <si>
    <t>Resultate</t>
  </si>
  <si>
    <t>Kranz-</t>
  </si>
  <si>
    <t>G300m</t>
  </si>
  <si>
    <t>Altendorf, FS</t>
  </si>
  <si>
    <t>Bennau, SG</t>
  </si>
  <si>
    <t>Brunnen, StSG</t>
  </si>
  <si>
    <t>Brunnen-Ingenbohl, MSV</t>
  </si>
  <si>
    <t>Einsiedeln, SV Tell</t>
  </si>
  <si>
    <t>Einsiedeln, SG</t>
  </si>
  <si>
    <t>Feusisberg, FSS</t>
  </si>
  <si>
    <t>Freienbach-Pfäffikon, SV</t>
  </si>
  <si>
    <t>Galgenen, ISV</t>
  </si>
  <si>
    <t>Gersau, SG</t>
  </si>
  <si>
    <t>Ibach-Schönenbuch, SV</t>
  </si>
  <si>
    <t>Innerthal, FSG</t>
  </si>
  <si>
    <t>Küssnacht, BS</t>
  </si>
  <si>
    <t>Lachen, SV</t>
  </si>
  <si>
    <t>Lauerz, StSG</t>
  </si>
  <si>
    <t>Morschach, SG</t>
  </si>
  <si>
    <t>Muotathal, SG</t>
  </si>
  <si>
    <t>Oberiberg, SG</t>
  </si>
  <si>
    <t>Reichenburg, FS</t>
  </si>
  <si>
    <t>Ried-Muotathal, FSG</t>
  </si>
  <si>
    <t>Rothenthurm, FSV</t>
  </si>
  <si>
    <t>Sattel, FSV</t>
  </si>
  <si>
    <t>Schindellegi, SV</t>
  </si>
  <si>
    <t>Schindellegi-Rossberg, FSV</t>
  </si>
  <si>
    <t>Schübelbach, GS</t>
  </si>
  <si>
    <t>Schwyz, SG</t>
  </si>
  <si>
    <t>Schwyz-Burg, FSG</t>
  </si>
  <si>
    <t>Seewen, SV</t>
  </si>
  <si>
    <t>Steinen, SG</t>
  </si>
  <si>
    <t>Steinerberg, SG</t>
  </si>
  <si>
    <t>Trachslau, SG</t>
  </si>
  <si>
    <t>Tuggen, SG</t>
  </si>
  <si>
    <t>Unteriberg, SG</t>
  </si>
  <si>
    <t>Vorderthal, MSV</t>
  </si>
  <si>
    <t>Wilen-Wollerau, MSV</t>
  </si>
  <si>
    <t>Willerzell, MSV</t>
  </si>
  <si>
    <t>Wollerau, SV</t>
  </si>
  <si>
    <t>YYYY</t>
  </si>
  <si>
    <t>Abrechnung Kantonaler Spezialstich</t>
  </si>
  <si>
    <t xml:space="preserve">Standblatt Bestellung für </t>
  </si>
  <si>
    <t xml:space="preserve">Verein: </t>
  </si>
  <si>
    <t>W300m</t>
  </si>
  <si>
    <t>W25m</t>
  </si>
  <si>
    <t>W50m</t>
  </si>
  <si>
    <t>Sportgerät</t>
  </si>
  <si>
    <t>Spaltenindex</t>
  </si>
  <si>
    <t>E</t>
  </si>
  <si>
    <t>Kat</t>
  </si>
  <si>
    <t>RP 50m</t>
  </si>
  <si>
    <t>Anleitung zum Ausfüllen</t>
  </si>
  <si>
    <t>Die Standblätter mit den Resultaten sind durch den Vereinsverantwortlichen bis Ende Jahr aufzubewahren. Der SKSG-Vorstand kann die Standblätter für eine Stichprobenkontrolle verlangen.</t>
  </si>
  <si>
    <r>
      <rPr>
        <b/>
        <i/>
        <sz val="11"/>
        <color theme="1"/>
        <rFont val="Calibri"/>
        <family val="2"/>
        <scheme val="minor"/>
      </rPr>
      <t xml:space="preserve">Schritt 1: </t>
    </r>
    <r>
      <rPr>
        <b/>
        <sz val="11"/>
        <color theme="1"/>
        <rFont val="Calibri"/>
        <family val="2"/>
        <scheme val="minor"/>
      </rPr>
      <t>Titelblatt ausfüllen</t>
    </r>
  </si>
  <si>
    <r>
      <rPr>
        <i/>
        <sz val="11"/>
        <color theme="1"/>
        <rFont val="Calibri"/>
        <family val="2"/>
        <scheme val="minor"/>
      </rPr>
      <t>Schritt a:</t>
    </r>
    <r>
      <rPr>
        <sz val="11"/>
        <color theme="1"/>
        <rFont val="Calibri"/>
        <family val="2"/>
        <scheme val="minor"/>
      </rPr>
      <t xml:space="preserve"> </t>
    </r>
  </si>
  <si>
    <t>Distanz anhand der Liste auswählen</t>
  </si>
  <si>
    <t>Schritt b:</t>
  </si>
  <si>
    <t xml:space="preserve">Schritt c: </t>
  </si>
  <si>
    <t xml:space="preserve">Informationen vom Verantwortlichen ausfüllen </t>
  </si>
  <si>
    <t xml:space="preserve">Verein anhand der Liste auswählen </t>
  </si>
  <si>
    <r>
      <rPr>
        <i/>
        <sz val="11"/>
        <color theme="1"/>
        <rFont val="Calibri"/>
        <family val="2"/>
        <scheme val="minor"/>
      </rPr>
      <t>Schritt d:</t>
    </r>
    <r>
      <rPr>
        <sz val="11"/>
        <color theme="1"/>
        <rFont val="Calibri"/>
        <family val="2"/>
        <scheme val="minor"/>
      </rPr>
      <t xml:space="preserve"> </t>
    </r>
  </si>
  <si>
    <t xml:space="preserve">Standblatt Bestellung für das nächste Jahr ausfüllen </t>
  </si>
  <si>
    <r>
      <rPr>
        <b/>
        <i/>
        <sz val="11"/>
        <color theme="1"/>
        <rFont val="Calibri"/>
        <family val="2"/>
        <scheme val="minor"/>
      </rPr>
      <t xml:space="preserve">Schritt 2: </t>
    </r>
    <r>
      <rPr>
        <b/>
        <sz val="11"/>
        <color theme="1"/>
        <rFont val="Calibri"/>
        <family val="2"/>
        <scheme val="minor"/>
      </rPr>
      <t>Kontrollblatt ausfüllen</t>
    </r>
  </si>
  <si>
    <t>Name ausfüllen</t>
  </si>
  <si>
    <t>Vorname ausfüllen</t>
  </si>
  <si>
    <t xml:space="preserve">Jahrgang ausfüllen (die Kategorie wird automatisch zugeteilt) </t>
  </si>
  <si>
    <t xml:space="preserve">Schritt d: </t>
  </si>
  <si>
    <t xml:space="preserve">Sportgerät anhand der Liste auswählen </t>
  </si>
  <si>
    <r>
      <rPr>
        <i/>
        <sz val="11"/>
        <color theme="1"/>
        <rFont val="Calibri"/>
        <family val="2"/>
        <scheme val="minor"/>
      </rPr>
      <t>Schritt e:</t>
    </r>
    <r>
      <rPr>
        <sz val="11"/>
        <color theme="1"/>
        <rFont val="Calibri"/>
        <family val="2"/>
        <scheme val="minor"/>
      </rPr>
      <t xml:space="preserve"> </t>
    </r>
  </si>
  <si>
    <t xml:space="preserve">Resultate eintragen (Kranzresultate und die entsprechende KK werden automatisch ausgefüllt) </t>
  </si>
  <si>
    <t xml:space="preserve">vom Titelblatt an die SKSG überweisen </t>
  </si>
  <si>
    <t xml:space="preserve">Schritt 3: </t>
  </si>
  <si>
    <t xml:space="preserve">die Excel Datei an renate.peters@sksg.ch schicken und den Totalbetrag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</si>
</sst>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0"/>
    <numFmt numFmtId="165" formatCode="&quot;CHF&quot;\ #,##0.00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i/>
      <sz val="12"/>
      <color theme="1"/>
      <name val="Arial"/>
      <family val="2"/>
    </font>
    <font>
      <b/>
      <sz val="18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Arial"/>
      <family val="2"/>
    </font>
    <font>
      <sz val="9"/>
      <color theme="1"/>
      <name val="Arial"/>
      <family val="2"/>
    </font>
    <font>
      <b/>
      <sz val="9"/>
      <color theme="1"/>
      <name val="Arial"/>
      <family val="2"/>
    </font>
    <font>
      <sz val="9"/>
      <name val="Arial"/>
      <family val="2"/>
    </font>
    <font>
      <sz val="9"/>
      <color theme="0" tint="-0.499984740745262"/>
      <name val="Arial"/>
      <family val="2"/>
    </font>
    <font>
      <b/>
      <sz val="9"/>
      <name val="Arial"/>
      <family val="2"/>
    </font>
    <font>
      <sz val="8"/>
      <color theme="0" tint="-0.499984740745262"/>
      <name val="Wingdings 3"/>
      <family val="1"/>
      <charset val="2"/>
    </font>
    <font>
      <b/>
      <sz val="10"/>
      <color theme="1"/>
      <name val="Arial"/>
      <family val="2"/>
    </font>
    <font>
      <sz val="10"/>
      <name val="Arial"/>
      <family val="2"/>
    </font>
    <font>
      <b/>
      <sz val="13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6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medium">
        <color theme="0" tint="-0.499984740745262"/>
      </left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medium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medium">
        <color theme="0" tint="-0.499984740745262"/>
      </top>
      <bottom/>
      <diagonal/>
    </border>
    <border>
      <left style="thin">
        <color theme="0" tint="-0.499984740745262"/>
      </left>
      <right style="medium">
        <color theme="0" tint="-0.499984740745262"/>
      </right>
      <top style="medium">
        <color theme="0" tint="-0.499984740745262"/>
      </top>
      <bottom/>
      <diagonal/>
    </border>
    <border>
      <left style="medium">
        <color theme="0" tint="-0.499984740745262"/>
      </left>
      <right style="thin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thin">
        <color theme="0" tint="-0.499984740745262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medium">
        <color theme="0" tint="-0.499984740745262"/>
      </bottom>
      <diagonal/>
    </border>
    <border>
      <left style="thin">
        <color theme="0" tint="-0.499984740745262"/>
      </left>
      <right style="medium">
        <color theme="0" tint="-0.499984740745262"/>
      </right>
      <top/>
      <bottom style="medium">
        <color theme="0" tint="-0.499984740745262"/>
      </bottom>
      <diagonal/>
    </border>
    <border>
      <left/>
      <right style="thin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medium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medium">
        <color theme="0" tint="-0.499984740745262"/>
      </left>
      <right style="medium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 style="medium">
        <color theme="0" tint="-0.499984740745262"/>
      </left>
      <right style="medium">
        <color theme="0" tint="-0.499984740745262"/>
      </right>
      <top style="thin">
        <color theme="0" tint="-0.499984740745262"/>
      </top>
      <bottom style="medium">
        <color theme="0" tint="-0.499984740745262"/>
      </bottom>
      <diagonal/>
    </border>
    <border>
      <left style="medium">
        <color theme="0" tint="-0.499984740745262"/>
      </left>
      <right style="medium">
        <color theme="0" tint="-0.499984740745262"/>
      </right>
      <top/>
      <bottom style="thin">
        <color theme="0" tint="-0.499984740745262"/>
      </bottom>
      <diagonal/>
    </border>
    <border>
      <left style="medium">
        <color theme="0" tint="-0.499984740745262"/>
      </left>
      <right style="medium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theme="4"/>
      </left>
      <right/>
      <top/>
      <bottom/>
      <diagonal/>
    </border>
    <border>
      <left style="medium">
        <color theme="4"/>
      </left>
      <right/>
      <top/>
      <bottom style="medium">
        <color theme="4"/>
      </bottom>
      <diagonal/>
    </border>
    <border>
      <left style="medium">
        <color theme="4"/>
      </left>
      <right/>
      <top style="medium">
        <color theme="4"/>
      </top>
      <bottom/>
      <diagonal/>
    </border>
    <border>
      <left style="medium">
        <color theme="4"/>
      </left>
      <right style="medium">
        <color theme="4"/>
      </right>
      <top style="medium">
        <color theme="4"/>
      </top>
      <bottom/>
      <diagonal/>
    </border>
    <border>
      <left style="medium">
        <color theme="4"/>
      </left>
      <right style="medium">
        <color theme="4"/>
      </right>
      <top/>
      <bottom/>
      <diagonal/>
    </border>
    <border>
      <left style="medium">
        <color theme="4"/>
      </left>
      <right style="medium">
        <color theme="4"/>
      </right>
      <top/>
      <bottom style="medium">
        <color theme="4"/>
      </bottom>
      <diagonal/>
    </border>
    <border>
      <left/>
      <right style="medium">
        <color theme="4"/>
      </right>
      <top style="medium">
        <color theme="4"/>
      </top>
      <bottom/>
      <diagonal/>
    </border>
    <border>
      <left/>
      <right/>
      <top/>
      <bottom style="medium">
        <color theme="4"/>
      </bottom>
      <diagonal/>
    </border>
    <border>
      <left/>
      <right style="medium">
        <color theme="4"/>
      </right>
      <top style="medium">
        <color theme="4"/>
      </top>
      <bottom style="thin">
        <color theme="0" tint="-0.499984740745262"/>
      </bottom>
      <diagonal/>
    </border>
    <border>
      <left/>
      <right style="medium">
        <color theme="4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medium">
        <color theme="4"/>
      </right>
      <top style="thin">
        <color theme="0" tint="-0.499984740745262"/>
      </top>
      <bottom style="medium">
        <color theme="4"/>
      </bottom>
      <diagonal/>
    </border>
    <border>
      <left/>
      <right style="medium">
        <color theme="4"/>
      </right>
      <top/>
      <bottom style="thin">
        <color theme="0" tint="-0.499984740745262"/>
      </bottom>
      <diagonal/>
    </border>
    <border>
      <left style="medium">
        <color theme="4"/>
      </left>
      <right style="medium">
        <color theme="4"/>
      </right>
      <top style="medium">
        <color theme="4"/>
      </top>
      <bottom style="thin">
        <color theme="0" tint="-0.499984740745262"/>
      </bottom>
      <diagonal/>
    </border>
    <border>
      <left style="medium">
        <color theme="4"/>
      </left>
      <right style="medium">
        <color theme="4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theme="4"/>
      </left>
      <right style="medium">
        <color theme="4"/>
      </right>
      <top style="thin">
        <color theme="0" tint="-0.499984740745262"/>
      </top>
      <bottom style="medium">
        <color theme="4"/>
      </bottom>
      <diagonal/>
    </border>
    <border>
      <left style="medium">
        <color theme="4"/>
      </left>
      <right style="medium">
        <color theme="4"/>
      </right>
      <top/>
      <bottom style="thin">
        <color theme="0" tint="-0.499984740745262"/>
      </bottom>
      <diagonal/>
    </border>
    <border>
      <left/>
      <right style="medium">
        <color theme="4"/>
      </right>
      <top/>
      <bottom style="medium">
        <color theme="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medium">
        <color theme="0" tint="-0.499984740745262"/>
      </left>
      <right style="medium">
        <color theme="4"/>
      </right>
      <top/>
      <bottom/>
      <diagonal/>
    </border>
    <border>
      <left/>
      <right style="thin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/>
      <right style="thin">
        <color theme="0" tint="-0.499984740745262"/>
      </right>
      <top/>
      <bottom style="medium">
        <color theme="0" tint="-0.499984740745262"/>
      </bottom>
      <diagonal/>
    </border>
    <border>
      <left style="medium">
        <color theme="0" tint="-0.499984740745262"/>
      </left>
      <right style="thin">
        <color theme="0" tint="-0.499984740745262"/>
      </right>
      <top style="medium">
        <color theme="0" tint="-0.499984740745262"/>
      </top>
      <bottom/>
      <diagonal/>
    </border>
    <border>
      <left style="thin">
        <color theme="0" tint="-0.499984740745262"/>
      </left>
      <right/>
      <top style="medium">
        <color theme="0" tint="-0.499984740745262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499984740745262"/>
      </right>
      <top style="medium">
        <color indexed="64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medium">
        <color indexed="64"/>
      </top>
      <bottom/>
      <diagonal/>
    </border>
    <border>
      <left style="thin">
        <color theme="0" tint="-0.499984740745262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142">
    <xf numFmtId="0" fontId="0" fillId="0" borderId="0" xfId="0"/>
    <xf numFmtId="0" fontId="6" fillId="0" borderId="0" xfId="0" applyFont="1"/>
    <xf numFmtId="0" fontId="13" fillId="0" borderId="0" xfId="0" applyFont="1"/>
    <xf numFmtId="0" fontId="14" fillId="0" borderId="0" xfId="0" applyFont="1" applyAlignment="1">
      <alignment vertical="top"/>
    </xf>
    <xf numFmtId="0" fontId="6" fillId="0" borderId="0" xfId="0" applyFont="1" applyAlignment="1">
      <alignment horizontal="left" vertical="center"/>
    </xf>
    <xf numFmtId="0" fontId="2" fillId="0" borderId="0" xfId="0" applyFont="1"/>
    <xf numFmtId="1" fontId="2" fillId="0" borderId="0" xfId="0" applyNumberFormat="1" applyFont="1" applyAlignment="1">
      <alignment horizontal="left"/>
    </xf>
    <xf numFmtId="0" fontId="2" fillId="0" borderId="0" xfId="0" applyFont="1" applyAlignment="1">
      <alignment horizontal="center"/>
    </xf>
    <xf numFmtId="0" fontId="2" fillId="0" borderId="2" xfId="0" applyFont="1" applyBorder="1" applyAlignment="1">
      <alignment horizontal="center"/>
    </xf>
    <xf numFmtId="0" fontId="5" fillId="0" borderId="0" xfId="0" applyFont="1"/>
    <xf numFmtId="0" fontId="2" fillId="0" borderId="0" xfId="0" applyFont="1" applyAlignment="1">
      <alignment wrapText="1"/>
    </xf>
    <xf numFmtId="0" fontId="1" fillId="0" borderId="0" xfId="0" applyFont="1"/>
    <xf numFmtId="0" fontId="2" fillId="0" borderId="0" xfId="0" applyFont="1" applyAlignment="1">
      <alignment horizontal="left"/>
    </xf>
    <xf numFmtId="0" fontId="12" fillId="7" borderId="0" xfId="0" applyFont="1" applyFill="1" applyAlignment="1">
      <alignment horizontal="center" vertical="center"/>
    </xf>
    <xf numFmtId="0" fontId="3" fillId="0" borderId="0" xfId="0" applyFont="1"/>
    <xf numFmtId="0" fontId="7" fillId="0" borderId="18" xfId="0" applyFont="1" applyBorder="1" applyProtection="1">
      <protection locked="0"/>
    </xf>
    <xf numFmtId="0" fontId="7" fillId="0" borderId="5" xfId="0" applyFont="1" applyBorder="1" applyProtection="1">
      <protection locked="0"/>
    </xf>
    <xf numFmtId="0" fontId="7" fillId="0" borderId="5" xfId="0" applyFont="1" applyBorder="1" applyAlignment="1" applyProtection="1">
      <alignment horizontal="center" vertical="center"/>
      <protection locked="0"/>
    </xf>
    <xf numFmtId="0" fontId="7" fillId="0" borderId="4" xfId="0" applyFont="1" applyBorder="1" applyProtection="1">
      <protection locked="0"/>
    </xf>
    <xf numFmtId="0" fontId="7" fillId="0" borderId="3" xfId="0" applyFont="1" applyBorder="1" applyProtection="1">
      <protection locked="0"/>
    </xf>
    <xf numFmtId="0" fontId="7" fillId="0" borderId="3" xfId="0" applyFont="1" applyBorder="1" applyAlignment="1" applyProtection="1">
      <alignment horizontal="center" vertical="center"/>
      <protection locked="0"/>
    </xf>
    <xf numFmtId="0" fontId="7" fillId="0" borderId="17" xfId="0" applyFont="1" applyBorder="1" applyProtection="1">
      <protection locked="0"/>
    </xf>
    <xf numFmtId="0" fontId="7" fillId="0" borderId="8" xfId="0" applyFont="1" applyBorder="1" applyProtection="1">
      <protection locked="0"/>
    </xf>
    <xf numFmtId="0" fontId="7" fillId="0" borderId="8" xfId="0" applyFont="1" applyBorder="1" applyAlignment="1" applyProtection="1">
      <alignment horizontal="center" vertical="center"/>
      <protection locked="0"/>
    </xf>
    <xf numFmtId="0" fontId="5" fillId="0" borderId="11" xfId="0" applyFont="1" applyBorder="1"/>
    <xf numFmtId="0" fontId="5" fillId="6" borderId="12" xfId="1" applyFont="1" applyFill="1" applyBorder="1" applyAlignment="1">
      <alignment horizontal="center" vertical="center"/>
    </xf>
    <xf numFmtId="0" fontId="5" fillId="6" borderId="13" xfId="1" applyFont="1" applyFill="1" applyBorder="1" applyAlignment="1">
      <alignment horizontal="center" vertical="center"/>
    </xf>
    <xf numFmtId="0" fontId="5" fillId="6" borderId="42" xfId="1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7" fillId="6" borderId="4" xfId="0" applyFont="1" applyFill="1" applyBorder="1" applyAlignment="1">
      <alignment horizontal="center" vertical="center"/>
    </xf>
    <xf numFmtId="0" fontId="9" fillId="6" borderId="3" xfId="0" applyFont="1" applyFill="1" applyBorder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center" vertical="center"/>
    </xf>
    <xf numFmtId="0" fontId="7" fillId="0" borderId="53" xfId="0" applyFont="1" applyBorder="1" applyAlignment="1">
      <alignment horizontal="center" vertical="center"/>
    </xf>
    <xf numFmtId="0" fontId="7" fillId="0" borderId="50" xfId="0" applyFont="1" applyBorder="1" applyAlignment="1">
      <alignment horizontal="center" vertical="center"/>
    </xf>
    <xf numFmtId="0" fontId="7" fillId="0" borderId="54" xfId="0" applyFont="1" applyBorder="1" applyAlignment="1">
      <alignment horizontal="center" vertical="center"/>
    </xf>
    <xf numFmtId="0" fontId="7" fillId="6" borderId="17" xfId="0" applyFont="1" applyFill="1" applyBorder="1" applyAlignment="1">
      <alignment horizontal="center" vertical="center"/>
    </xf>
    <xf numFmtId="0" fontId="7" fillId="0" borderId="55" xfId="0" applyFont="1" applyBorder="1" applyAlignment="1">
      <alignment horizontal="center" vertical="center"/>
    </xf>
    <xf numFmtId="0" fontId="7" fillId="0" borderId="65" xfId="0" applyFont="1" applyBorder="1" applyAlignment="1">
      <alignment horizontal="center" vertical="center"/>
    </xf>
    <xf numFmtId="0" fontId="7" fillId="0" borderId="56" xfId="0" applyFont="1" applyBorder="1" applyAlignment="1">
      <alignment horizontal="center" vertical="center"/>
    </xf>
    <xf numFmtId="1" fontId="0" fillId="6" borderId="0" xfId="0" applyNumberFormat="1" applyFill="1" applyAlignment="1">
      <alignment horizontal="center" vertical="center"/>
    </xf>
    <xf numFmtId="1" fontId="0" fillId="6" borderId="3" xfId="0" applyNumberFormat="1" applyFill="1" applyBorder="1" applyAlignment="1">
      <alignment horizontal="center" vertical="center"/>
    </xf>
    <xf numFmtId="1" fontId="0" fillId="6" borderId="40" xfId="0" applyNumberFormat="1" applyFill="1" applyBorder="1" applyAlignment="1">
      <alignment horizontal="center" vertical="center"/>
    </xf>
    <xf numFmtId="1" fontId="0" fillId="6" borderId="8" xfId="0" applyNumberFormat="1" applyFill="1" applyBorder="1" applyAlignment="1">
      <alignment horizontal="center" vertical="center"/>
    </xf>
    <xf numFmtId="164" fontId="7" fillId="0" borderId="22" xfId="1" applyNumberFormat="1" applyFont="1" applyBorder="1" applyAlignment="1">
      <alignment horizontal="left" vertical="center"/>
    </xf>
    <xf numFmtId="164" fontId="7" fillId="0" borderId="20" xfId="1" applyNumberFormat="1" applyFont="1" applyBorder="1" applyAlignment="1">
      <alignment horizontal="left" vertical="center"/>
    </xf>
    <xf numFmtId="0" fontId="7" fillId="6" borderId="18" xfId="0" applyFont="1" applyFill="1" applyBorder="1" applyAlignment="1">
      <alignment horizontal="center" vertical="center"/>
    </xf>
    <xf numFmtId="0" fontId="7" fillId="0" borderId="41" xfId="0" applyFont="1" applyBorder="1"/>
    <xf numFmtId="0" fontId="7" fillId="4" borderId="26" xfId="0" applyFont="1" applyFill="1" applyBorder="1" applyAlignment="1">
      <alignment horizontal="left" vertical="center"/>
    </xf>
    <xf numFmtId="0" fontId="7" fillId="4" borderId="31" xfId="0" applyFont="1" applyFill="1" applyBorder="1" applyAlignment="1">
      <alignment horizontal="center" vertical="center"/>
    </xf>
    <xf numFmtId="0" fontId="7" fillId="4" borderId="35" xfId="0" applyFont="1" applyFill="1" applyBorder="1" applyAlignment="1">
      <alignment horizontal="center" vertical="center"/>
    </xf>
    <xf numFmtId="0" fontId="7" fillId="0" borderId="51" xfId="0" applyFont="1" applyBorder="1" applyAlignment="1">
      <alignment horizontal="center" vertical="center"/>
    </xf>
    <xf numFmtId="0" fontId="7" fillId="0" borderId="64" xfId="0" applyFont="1" applyBorder="1" applyAlignment="1">
      <alignment horizontal="center" vertical="center"/>
    </xf>
    <xf numFmtId="0" fontId="7" fillId="0" borderId="52" xfId="0" applyFont="1" applyBorder="1" applyAlignment="1">
      <alignment horizontal="center" vertical="center"/>
    </xf>
    <xf numFmtId="0" fontId="7" fillId="0" borderId="59" xfId="0" applyFont="1" applyBorder="1" applyAlignment="1">
      <alignment horizontal="center" vertical="center"/>
    </xf>
    <xf numFmtId="0" fontId="7" fillId="0" borderId="62" xfId="0" applyFont="1" applyBorder="1" applyAlignment="1">
      <alignment horizontal="center" vertical="center"/>
    </xf>
    <xf numFmtId="0" fontId="7" fillId="4" borderId="27" xfId="0" applyFont="1" applyFill="1" applyBorder="1" applyAlignment="1">
      <alignment horizontal="left" vertical="center"/>
    </xf>
    <xf numFmtId="0" fontId="7" fillId="4" borderId="32" xfId="0" applyFont="1" applyFill="1" applyBorder="1" applyAlignment="1">
      <alignment horizontal="center" vertical="center"/>
    </xf>
    <xf numFmtId="0" fontId="7" fillId="4" borderId="36" xfId="0" applyFont="1" applyFill="1" applyBorder="1" applyAlignment="1">
      <alignment horizontal="center" vertical="center"/>
    </xf>
    <xf numFmtId="0" fontId="7" fillId="0" borderId="60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center"/>
    </xf>
    <xf numFmtId="0" fontId="7" fillId="4" borderId="28" xfId="0" applyFont="1" applyFill="1" applyBorder="1" applyAlignment="1">
      <alignment horizontal="left" vertical="center"/>
    </xf>
    <xf numFmtId="0" fontId="7" fillId="4" borderId="33" xfId="0" applyFont="1" applyFill="1" applyBorder="1" applyAlignment="1">
      <alignment horizontal="center" vertical="center"/>
    </xf>
    <xf numFmtId="0" fontId="7" fillId="4" borderId="37" xfId="0" applyFont="1" applyFill="1" applyBorder="1" applyAlignment="1">
      <alignment horizontal="center" vertical="center"/>
    </xf>
    <xf numFmtId="0" fontId="7" fillId="2" borderId="26" xfId="0" applyFont="1" applyFill="1" applyBorder="1" applyAlignment="1">
      <alignment horizontal="left" vertical="center"/>
    </xf>
    <xf numFmtId="0" fontId="7" fillId="2" borderId="31" xfId="0" applyFont="1" applyFill="1" applyBorder="1" applyAlignment="1">
      <alignment horizontal="center" vertical="center"/>
    </xf>
    <xf numFmtId="0" fontId="7" fillId="2" borderId="35" xfId="0" applyFont="1" applyFill="1" applyBorder="1" applyAlignment="1">
      <alignment horizontal="center" vertical="center"/>
    </xf>
    <xf numFmtId="0" fontId="7" fillId="2" borderId="28" xfId="0" applyFont="1" applyFill="1" applyBorder="1" applyAlignment="1">
      <alignment horizontal="left" vertical="center"/>
    </xf>
    <xf numFmtId="0" fontId="7" fillId="2" borderId="33" xfId="0" applyFont="1" applyFill="1" applyBorder="1" applyAlignment="1">
      <alignment horizontal="center" vertical="center"/>
    </xf>
    <xf numFmtId="0" fontId="7" fillId="2" borderId="37" xfId="0" applyFont="1" applyFill="1" applyBorder="1" applyAlignment="1">
      <alignment horizontal="center" vertical="center"/>
    </xf>
    <xf numFmtId="0" fontId="7" fillId="5" borderId="26" xfId="0" applyFont="1" applyFill="1" applyBorder="1" applyAlignment="1">
      <alignment horizontal="left" vertical="center"/>
    </xf>
    <xf numFmtId="0" fontId="7" fillId="5" borderId="34" xfId="0" applyFont="1" applyFill="1" applyBorder="1" applyAlignment="1">
      <alignment horizontal="center" vertical="center"/>
    </xf>
    <xf numFmtId="0" fontId="7" fillId="5" borderId="38" xfId="0" applyFont="1" applyFill="1" applyBorder="1" applyAlignment="1">
      <alignment horizontal="center" vertical="center"/>
    </xf>
    <xf numFmtId="0" fontId="7" fillId="5" borderId="27" xfId="0" applyFont="1" applyFill="1" applyBorder="1" applyAlignment="1">
      <alignment horizontal="left" vertical="center"/>
    </xf>
    <xf numFmtId="0" fontId="7" fillId="5" borderId="32" xfId="0" applyFont="1" applyFill="1" applyBorder="1" applyAlignment="1">
      <alignment horizontal="center" vertical="center"/>
    </xf>
    <xf numFmtId="0" fontId="7" fillId="5" borderId="36" xfId="0" applyFont="1" applyFill="1" applyBorder="1" applyAlignment="1">
      <alignment horizontal="center" vertical="center"/>
    </xf>
    <xf numFmtId="0" fontId="7" fillId="5" borderId="28" xfId="0" applyFont="1" applyFill="1" applyBorder="1" applyAlignment="1">
      <alignment horizontal="left" vertical="center"/>
    </xf>
    <xf numFmtId="0" fontId="7" fillId="5" borderId="33" xfId="0" applyFont="1" applyFill="1" applyBorder="1" applyAlignment="1">
      <alignment horizontal="center" vertical="center"/>
    </xf>
    <xf numFmtId="0" fontId="7" fillId="5" borderId="37" xfId="0" applyFont="1" applyFill="1" applyBorder="1" applyAlignment="1">
      <alignment horizontal="center" vertical="center"/>
    </xf>
    <xf numFmtId="0" fontId="7" fillId="0" borderId="3" xfId="0" applyFont="1" applyBorder="1"/>
    <xf numFmtId="164" fontId="7" fillId="0" borderId="21" xfId="1" applyNumberFormat="1" applyFont="1" applyBorder="1" applyAlignment="1">
      <alignment horizontal="left" vertical="center"/>
    </xf>
    <xf numFmtId="0" fontId="8" fillId="0" borderId="9" xfId="0" applyFont="1" applyBorder="1" applyAlignment="1">
      <alignment horizontal="center"/>
    </xf>
    <xf numFmtId="0" fontId="8" fillId="6" borderId="9" xfId="0" applyFont="1" applyFill="1" applyBorder="1" applyAlignment="1">
      <alignment horizontal="center"/>
    </xf>
    <xf numFmtId="0" fontId="8" fillId="0" borderId="9" xfId="0" applyFont="1" applyBorder="1" applyAlignment="1">
      <alignment horizontal="center" vertical="center"/>
    </xf>
    <xf numFmtId="0" fontId="8" fillId="0" borderId="45" xfId="0" applyFont="1" applyBorder="1" applyAlignment="1">
      <alignment horizontal="center" vertical="center"/>
    </xf>
    <xf numFmtId="0" fontId="8" fillId="6" borderId="44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 wrapText="1"/>
    </xf>
    <xf numFmtId="0" fontId="8" fillId="6" borderId="10" xfId="0" applyFont="1" applyFill="1" applyBorder="1" applyAlignment="1">
      <alignment horizontal="center" vertical="center" wrapText="1"/>
    </xf>
    <xf numFmtId="0" fontId="8" fillId="0" borderId="47" xfId="0" applyFont="1" applyBorder="1" applyAlignment="1">
      <alignment horizontal="center" vertical="center"/>
    </xf>
    <xf numFmtId="0" fontId="8" fillId="0" borderId="48" xfId="0" applyFont="1" applyBorder="1" applyAlignment="1">
      <alignment horizontal="center" vertical="center"/>
    </xf>
    <xf numFmtId="0" fontId="8" fillId="0" borderId="49" xfId="0" applyFont="1" applyBorder="1" applyAlignment="1">
      <alignment horizontal="center" vertical="center"/>
    </xf>
    <xf numFmtId="0" fontId="7" fillId="0" borderId="57" xfId="0" applyFont="1" applyBorder="1" applyAlignment="1">
      <alignment horizontal="center" vertical="center"/>
    </xf>
    <xf numFmtId="0" fontId="7" fillId="0" borderId="46" xfId="0" applyFont="1" applyBorder="1" applyAlignment="1">
      <alignment horizontal="center" vertical="center"/>
    </xf>
    <xf numFmtId="0" fontId="10" fillId="0" borderId="14" xfId="0" applyFont="1" applyBorder="1" applyAlignment="1">
      <alignment horizontal="center"/>
    </xf>
    <xf numFmtId="0" fontId="11" fillId="6" borderId="14" xfId="0" applyFont="1" applyFill="1" applyBorder="1" applyAlignment="1">
      <alignment horizontal="center"/>
    </xf>
    <xf numFmtId="0" fontId="11" fillId="7" borderId="14" xfId="0" applyFont="1" applyFill="1" applyBorder="1" applyAlignment="1">
      <alignment horizontal="center" vertical="center"/>
    </xf>
    <xf numFmtId="0" fontId="7" fillId="0" borderId="14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8" fillId="6" borderId="43" xfId="0" applyFont="1" applyFill="1" applyBorder="1" applyAlignment="1">
      <alignment horizontal="center" vertical="center"/>
    </xf>
    <xf numFmtId="0" fontId="8" fillId="6" borderId="14" xfId="0" applyFont="1" applyFill="1" applyBorder="1" applyAlignment="1">
      <alignment horizontal="center" vertical="center" wrapText="1"/>
    </xf>
    <xf numFmtId="0" fontId="8" fillId="6" borderId="15" xfId="0" applyFont="1" applyFill="1" applyBorder="1" applyAlignment="1">
      <alignment horizontal="center" vertical="center" wrapText="1"/>
    </xf>
    <xf numFmtId="0" fontId="7" fillId="0" borderId="6" xfId="0" applyFont="1" applyBorder="1"/>
    <xf numFmtId="0" fontId="7" fillId="0" borderId="30" xfId="0" applyFont="1" applyBorder="1"/>
    <xf numFmtId="0" fontId="7" fillId="0" borderId="39" xfId="0" applyFont="1" applyBorder="1"/>
    <xf numFmtId="0" fontId="8" fillId="3" borderId="29" xfId="0" applyFont="1" applyFill="1" applyBorder="1" applyAlignment="1">
      <alignment horizontal="center" vertical="center"/>
    </xf>
    <xf numFmtId="0" fontId="8" fillId="3" borderId="26" xfId="0" applyFont="1" applyFill="1" applyBorder="1" applyAlignment="1">
      <alignment horizontal="center" vertical="center"/>
    </xf>
    <xf numFmtId="0" fontId="7" fillId="0" borderId="47" xfId="0" applyFont="1" applyBorder="1" applyAlignment="1">
      <alignment horizontal="center" vertical="center"/>
    </xf>
    <xf numFmtId="0" fontId="7" fillId="0" borderId="48" xfId="0" applyFont="1" applyBorder="1" applyAlignment="1">
      <alignment horizontal="center" vertical="center"/>
    </xf>
    <xf numFmtId="0" fontId="7" fillId="0" borderId="49" xfId="0" applyFont="1" applyBorder="1" applyAlignment="1">
      <alignment horizontal="center" vertical="center"/>
    </xf>
    <xf numFmtId="0" fontId="7" fillId="0" borderId="58" xfId="0" applyFont="1" applyBorder="1" applyAlignment="1">
      <alignment horizontal="center" vertical="center"/>
    </xf>
    <xf numFmtId="0" fontId="7" fillId="0" borderId="61" xfId="0" applyFont="1" applyBorder="1" applyAlignment="1">
      <alignment horizontal="center" vertical="center"/>
    </xf>
    <xf numFmtId="14" fontId="2" fillId="0" borderId="0" xfId="0" applyNumberFormat="1" applyFont="1" applyAlignment="1">
      <alignment horizontal="left"/>
    </xf>
    <xf numFmtId="0" fontId="2" fillId="2" borderId="1" xfId="0" applyFont="1" applyFill="1" applyBorder="1" applyAlignment="1" applyProtection="1">
      <alignment horizontal="center" vertical="center"/>
      <protection locked="0"/>
    </xf>
    <xf numFmtId="165" fontId="2" fillId="0" borderId="0" xfId="0" applyNumberFormat="1" applyFont="1" applyAlignment="1">
      <alignment horizontal="center" vertical="center"/>
    </xf>
    <xf numFmtId="165" fontId="5" fillId="0" borderId="0" xfId="0" applyNumberFormat="1" applyFont="1" applyAlignment="1">
      <alignment horizontal="center" vertical="center"/>
    </xf>
    <xf numFmtId="0" fontId="15" fillId="0" borderId="0" xfId="0" applyFont="1"/>
    <xf numFmtId="0" fontId="0" fillId="0" borderId="0" xfId="0" applyAlignment="1">
      <alignment vertical="top"/>
    </xf>
    <xf numFmtId="0" fontId="0" fillId="0" borderId="0" xfId="0" applyAlignment="1">
      <alignment horizontal="left"/>
    </xf>
    <xf numFmtId="0" fontId="16" fillId="0" borderId="0" xfId="0" applyFont="1"/>
    <xf numFmtId="0" fontId="17" fillId="0" borderId="0" xfId="0" applyFont="1"/>
    <xf numFmtId="0" fontId="2" fillId="0" borderId="0" xfId="0" applyFont="1" applyAlignment="1">
      <alignment horizontal="right"/>
    </xf>
    <xf numFmtId="0" fontId="2" fillId="0" borderId="0" xfId="0" applyFont="1" applyAlignment="1">
      <alignment horizontal="left" wrapText="1"/>
    </xf>
    <xf numFmtId="0" fontId="2" fillId="2" borderId="1" xfId="0" applyFont="1" applyFill="1" applyBorder="1" applyAlignment="1" applyProtection="1">
      <alignment horizontal="center" vertical="center"/>
      <protection locked="0"/>
    </xf>
    <xf numFmtId="0" fontId="4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7" fillId="2" borderId="25" xfId="0" applyFont="1" applyFill="1" applyBorder="1" applyAlignment="1">
      <alignment horizontal="center" vertical="center"/>
    </xf>
    <xf numFmtId="0" fontId="7" fillId="2" borderId="24" xfId="0" applyFont="1" applyFill="1" applyBorder="1" applyAlignment="1">
      <alignment horizontal="center" vertical="center"/>
    </xf>
    <xf numFmtId="0" fontId="7" fillId="5" borderId="23" xfId="0" applyFont="1" applyFill="1" applyBorder="1" applyAlignment="1">
      <alignment horizontal="center" vertical="center"/>
    </xf>
    <xf numFmtId="0" fontId="7" fillId="5" borderId="24" xfId="0" applyFont="1" applyFill="1" applyBorder="1" applyAlignment="1">
      <alignment horizontal="center" vertical="center"/>
    </xf>
    <xf numFmtId="0" fontId="7" fillId="4" borderId="26" xfId="0" applyFont="1" applyFill="1" applyBorder="1" applyAlignment="1">
      <alignment horizontal="center" vertical="center"/>
    </xf>
    <xf numFmtId="0" fontId="7" fillId="4" borderId="27" xfId="0" applyFont="1" applyFill="1" applyBorder="1" applyAlignment="1">
      <alignment horizontal="center" vertical="center"/>
    </xf>
    <xf numFmtId="0" fontId="7" fillId="4" borderId="28" xfId="0" applyFont="1" applyFill="1" applyBorder="1" applyAlignment="1">
      <alignment horizontal="center" vertical="center"/>
    </xf>
    <xf numFmtId="0" fontId="7" fillId="0" borderId="19" xfId="0" applyFont="1" applyBorder="1" applyAlignment="1">
      <alignment horizontal="center" vertical="center"/>
    </xf>
    <xf numFmtId="0" fontId="7" fillId="0" borderId="20" xfId="0" applyFont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8" fillId="0" borderId="17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 vertical="center"/>
    </xf>
    <xf numFmtId="0" fontId="2" fillId="2" borderId="1" xfId="0" applyFont="1" applyFill="1" applyBorder="1" applyAlignment="1">
      <alignment horizontal="center"/>
    </xf>
  </cellXfs>
  <cellStyles count="2">
    <cellStyle name="Standard" xfId="0" builtinId="0"/>
    <cellStyle name="Standard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717925</xdr:colOff>
      <xdr:row>5</xdr:row>
      <xdr:rowOff>45719</xdr:rowOff>
    </xdr:to>
    <xdr:pic>
      <xdr:nvPicPr>
        <xdr:cNvPr id="2" name="Bild 7">
          <a:extLst>
            <a:ext uri="{FF2B5EF4-FFF2-40B4-BE49-F238E27FC236}">
              <a16:creationId xmlns:a16="http://schemas.microsoft.com/office/drawing/2014/main" id="{EFBD74CD-8FAA-4C9F-BFDA-0413715DD1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717925" cy="99821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oneCellAnchor>
    <xdr:from>
      <xdr:col>1</xdr:col>
      <xdr:colOff>0</xdr:colOff>
      <xdr:row>2</xdr:row>
      <xdr:rowOff>152400</xdr:rowOff>
    </xdr:from>
    <xdr:ext cx="2895454" cy="533401"/>
    <xdr:sp macro="" textlink="">
      <xdr:nvSpPr>
        <xdr:cNvPr id="3" name="Text Box 3">
          <a:extLst>
            <a:ext uri="{FF2B5EF4-FFF2-40B4-BE49-F238E27FC236}">
              <a16:creationId xmlns:a16="http://schemas.microsoft.com/office/drawing/2014/main" id="{283AE207-9286-46A8-B6ED-9EC0C5C8651C}"/>
            </a:ext>
          </a:extLst>
        </xdr:cNvPr>
        <xdr:cNvSpPr txBox="1">
          <a:spLocks noChangeArrowheads="1"/>
        </xdr:cNvSpPr>
      </xdr:nvSpPr>
      <xdr:spPr bwMode="auto">
        <a:xfrm>
          <a:off x="762000" y="533400"/>
          <a:ext cx="2895454" cy="533401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wrap="square" lIns="91440" tIns="45720" rIns="91440" bIns="45720" anchor="t" upright="1">
          <a:noAutofit/>
        </a:bodyPr>
        <a:lstStyle/>
        <a:p>
          <a:pPr algn="l" rtl="0">
            <a:defRPr sz="1000"/>
          </a:pPr>
          <a:r>
            <a:rPr lang="de-CH" sz="1400" b="1" i="1" u="none" strike="noStrike" baseline="0">
              <a:solidFill>
                <a:srgbClr val="000000"/>
              </a:solidFill>
              <a:latin typeface="Calibri"/>
              <a:cs typeface="Calibri"/>
            </a:rPr>
            <a:t>Schwyzer </a:t>
          </a:r>
        </a:p>
        <a:p>
          <a:pPr algn="l" rtl="0">
            <a:defRPr sz="1000"/>
          </a:pPr>
          <a:r>
            <a:rPr lang="de-CH" sz="1400" b="1" i="1" u="none" strike="noStrike" baseline="0">
              <a:solidFill>
                <a:srgbClr val="000000"/>
              </a:solidFill>
              <a:latin typeface="Arial"/>
              <a:cs typeface="Arial"/>
            </a:rPr>
            <a:t>Kantonal-Schützengesellschaft</a:t>
          </a:r>
        </a:p>
      </xdr:txBody>
    </xdr:sp>
    <xdr:clientData/>
  </xdr:oneCellAnchor>
  <xdr:twoCellAnchor editAs="oneCell">
    <xdr:from>
      <xdr:col>5</xdr:col>
      <xdr:colOff>9525</xdr:colOff>
      <xdr:row>13</xdr:row>
      <xdr:rowOff>57150</xdr:rowOff>
    </xdr:from>
    <xdr:to>
      <xdr:col>5</xdr:col>
      <xdr:colOff>161924</xdr:colOff>
      <xdr:row>13</xdr:row>
      <xdr:rowOff>209549</xdr:rowOff>
    </xdr:to>
    <xdr:pic>
      <xdr:nvPicPr>
        <xdr:cNvPr id="6" name="Grafik 5">
          <a:extLst>
            <a:ext uri="{FF2B5EF4-FFF2-40B4-BE49-F238E27FC236}">
              <a16:creationId xmlns:a16="http://schemas.microsoft.com/office/drawing/2014/main" id="{803E9C06-06AD-4045-B144-36047472E2D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5574" t="-1" r="9203" b="5310"/>
        <a:stretch/>
      </xdr:blipFill>
      <xdr:spPr>
        <a:xfrm>
          <a:off x="4286250" y="2752725"/>
          <a:ext cx="152399" cy="152399"/>
        </a:xfrm>
        <a:prstGeom prst="rect">
          <a:avLst/>
        </a:prstGeom>
      </xdr:spPr>
    </xdr:pic>
    <xdr:clientData/>
  </xdr:twoCellAnchor>
  <xdr:twoCellAnchor editAs="oneCell">
    <xdr:from>
      <xdr:col>5</xdr:col>
      <xdr:colOff>9525</xdr:colOff>
      <xdr:row>15</xdr:row>
      <xdr:rowOff>57150</xdr:rowOff>
    </xdr:from>
    <xdr:to>
      <xdr:col>5</xdr:col>
      <xdr:colOff>161924</xdr:colOff>
      <xdr:row>15</xdr:row>
      <xdr:rowOff>209549</xdr:rowOff>
    </xdr:to>
    <xdr:pic>
      <xdr:nvPicPr>
        <xdr:cNvPr id="7" name="Grafik 6">
          <a:extLst>
            <a:ext uri="{FF2B5EF4-FFF2-40B4-BE49-F238E27FC236}">
              <a16:creationId xmlns:a16="http://schemas.microsoft.com/office/drawing/2014/main" id="{0DE284E8-77EF-4CAB-9D26-1B0022A4196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5574" t="-1" r="9203" b="5310"/>
        <a:stretch/>
      </xdr:blipFill>
      <xdr:spPr>
        <a:xfrm>
          <a:off x="4286250" y="3171825"/>
          <a:ext cx="152399" cy="15239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9524</xdr:colOff>
      <xdr:row>0</xdr:row>
      <xdr:rowOff>19050</xdr:rowOff>
    </xdr:from>
    <xdr:to>
      <xdr:col>1</xdr:col>
      <xdr:colOff>447674</xdr:colOff>
      <xdr:row>5</xdr:row>
      <xdr:rowOff>64769</xdr:rowOff>
    </xdr:to>
    <xdr:pic>
      <xdr:nvPicPr>
        <xdr:cNvPr id="6" name="Bild 7">
          <a:extLst>
            <a:ext uri="{FF2B5EF4-FFF2-40B4-BE49-F238E27FC236}">
              <a16:creationId xmlns:a16="http://schemas.microsoft.com/office/drawing/2014/main" id="{B4775EC8-F625-47AF-907D-575CAEBE06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4" y="19050"/>
          <a:ext cx="685800" cy="99821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oneCellAnchor>
    <xdr:from>
      <xdr:col>1</xdr:col>
      <xdr:colOff>466724</xdr:colOff>
      <xdr:row>2</xdr:row>
      <xdr:rowOff>152400</xdr:rowOff>
    </xdr:from>
    <xdr:ext cx="4191001" cy="533401"/>
    <xdr:sp macro="" textlink="">
      <xdr:nvSpPr>
        <xdr:cNvPr id="7" name="Text Box 3">
          <a:extLst>
            <a:ext uri="{FF2B5EF4-FFF2-40B4-BE49-F238E27FC236}">
              <a16:creationId xmlns:a16="http://schemas.microsoft.com/office/drawing/2014/main" id="{F96A6476-819E-47D5-A9A6-E686450BE463}"/>
            </a:ext>
          </a:extLst>
        </xdr:cNvPr>
        <xdr:cNvSpPr txBox="1">
          <a:spLocks noChangeArrowheads="1"/>
        </xdr:cNvSpPr>
      </xdr:nvSpPr>
      <xdr:spPr bwMode="auto">
        <a:xfrm>
          <a:off x="714374" y="533400"/>
          <a:ext cx="4191001" cy="533401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wrap="square" lIns="91440" tIns="45720" rIns="91440" bIns="45720" anchor="t" upright="1">
          <a:noAutofit/>
        </a:bodyPr>
        <a:lstStyle/>
        <a:p>
          <a:pPr algn="l" rtl="0">
            <a:defRPr sz="1000"/>
          </a:pPr>
          <a:r>
            <a:rPr lang="de-CH" sz="1400" b="1" i="1" u="none" strike="noStrike" baseline="0">
              <a:solidFill>
                <a:srgbClr val="000000"/>
              </a:solidFill>
              <a:latin typeface="Calibri"/>
              <a:cs typeface="Calibri"/>
            </a:rPr>
            <a:t>Schwyzer </a:t>
          </a:r>
        </a:p>
        <a:p>
          <a:pPr algn="l" rtl="0">
            <a:defRPr sz="1000"/>
          </a:pPr>
          <a:r>
            <a:rPr lang="de-CH" sz="1400" b="1" i="1" u="none" strike="noStrike" baseline="0">
              <a:solidFill>
                <a:srgbClr val="000000"/>
              </a:solidFill>
              <a:latin typeface="Arial"/>
              <a:cs typeface="Arial"/>
            </a:rPr>
            <a:t>Kantonal-Schützengesellschaft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 2013 – 2022-Design">
  <a:themeElements>
    <a:clrScheme name="Office 2013 –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–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–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>
    <pageSetUpPr fitToPage="1"/>
  </sheetPr>
  <dimension ref="A4:L54"/>
  <sheetViews>
    <sheetView showGridLines="0" tabSelected="1" workbookViewId="0">
      <selection activeCell="I53" sqref="I53"/>
    </sheetView>
  </sheetViews>
  <sheetFormatPr baseColWidth="10" defaultRowHeight="14.25" x14ac:dyDescent="0.45"/>
  <cols>
    <col min="1" max="1" width="18.3984375" bestFit="1" customWidth="1"/>
    <col min="2" max="2" width="11.3984375" customWidth="1"/>
    <col min="6" max="6" width="7.86328125" bestFit="1" customWidth="1"/>
    <col min="7" max="7" width="18" customWidth="1"/>
  </cols>
  <sheetData>
    <row r="4" spans="1:9" ht="16.899999999999999" x14ac:dyDescent="0.5">
      <c r="H4" s="115" t="s">
        <v>114</v>
      </c>
    </row>
    <row r="5" spans="1:9" x14ac:dyDescent="0.45">
      <c r="H5" s="11" t="s">
        <v>116</v>
      </c>
    </row>
    <row r="6" spans="1:9" x14ac:dyDescent="0.45">
      <c r="H6" s="117" t="s">
        <v>117</v>
      </c>
      <c r="I6" t="s">
        <v>118</v>
      </c>
    </row>
    <row r="7" spans="1:9" ht="15.4" x14ac:dyDescent="0.45">
      <c r="A7" s="14" t="s">
        <v>0</v>
      </c>
      <c r="H7" s="118" t="s">
        <v>119</v>
      </c>
      <c r="I7" t="s">
        <v>122</v>
      </c>
    </row>
    <row r="8" spans="1:9" x14ac:dyDescent="0.45">
      <c r="H8" s="118" t="s">
        <v>120</v>
      </c>
      <c r="I8" t="s">
        <v>121</v>
      </c>
    </row>
    <row r="9" spans="1:9" ht="22.5" x14ac:dyDescent="0.6">
      <c r="A9" s="123" t="s">
        <v>103</v>
      </c>
      <c r="B9" s="123"/>
      <c r="C9" s="123"/>
      <c r="D9" s="123"/>
      <c r="E9" s="123"/>
      <c r="F9" s="123"/>
      <c r="G9" s="123"/>
      <c r="H9" s="116" t="s">
        <v>123</v>
      </c>
      <c r="I9" s="116" t="s">
        <v>124</v>
      </c>
    </row>
    <row r="10" spans="1:9" ht="22.5" x14ac:dyDescent="0.6">
      <c r="A10" s="123">
        <f ca="1">YEAR(G12)</f>
        <v>2026</v>
      </c>
      <c r="B10" s="123"/>
      <c r="C10" s="123"/>
      <c r="D10" s="123"/>
      <c r="E10" s="123"/>
      <c r="F10" s="123"/>
      <c r="G10" s="123"/>
      <c r="H10" s="11" t="s">
        <v>125</v>
      </c>
    </row>
    <row r="11" spans="1:9" x14ac:dyDescent="0.45">
      <c r="H11" t="s">
        <v>117</v>
      </c>
      <c r="I11" t="s">
        <v>126</v>
      </c>
    </row>
    <row r="12" spans="1:9" x14ac:dyDescent="0.45">
      <c r="A12" s="5"/>
      <c r="B12" s="5"/>
      <c r="C12" s="5"/>
      <c r="D12" s="5"/>
      <c r="F12" s="5" t="s">
        <v>3</v>
      </c>
      <c r="G12" s="111">
        <f ca="1">TODAY()</f>
        <v>46072</v>
      </c>
      <c r="H12" s="118" t="s">
        <v>119</v>
      </c>
      <c r="I12" t="s">
        <v>127</v>
      </c>
    </row>
    <row r="13" spans="1:9" x14ac:dyDescent="0.45">
      <c r="A13" s="5"/>
      <c r="B13" s="5"/>
      <c r="C13" s="5"/>
      <c r="D13" s="5"/>
      <c r="E13" s="5"/>
      <c r="F13" s="5"/>
      <c r="G13" s="5"/>
      <c r="H13" s="118" t="s">
        <v>120</v>
      </c>
      <c r="I13" t="s">
        <v>128</v>
      </c>
    </row>
    <row r="14" spans="1:9" ht="18" customHeight="1" x14ac:dyDescent="0.45">
      <c r="A14" s="9" t="s">
        <v>4</v>
      </c>
      <c r="B14" s="122"/>
      <c r="C14" s="122"/>
      <c r="D14" s="122"/>
      <c r="E14" s="122"/>
      <c r="F14" s="13"/>
      <c r="G14" s="5"/>
      <c r="H14" s="118" t="s">
        <v>129</v>
      </c>
      <c r="I14" t="s">
        <v>130</v>
      </c>
    </row>
    <row r="15" spans="1:9" x14ac:dyDescent="0.45">
      <c r="A15" s="9"/>
      <c r="B15" s="12"/>
      <c r="C15" s="12"/>
      <c r="D15" s="12"/>
      <c r="E15" s="12"/>
      <c r="F15" s="12"/>
      <c r="G15" s="12"/>
      <c r="H15" t="s">
        <v>131</v>
      </c>
      <c r="I15" t="s">
        <v>132</v>
      </c>
    </row>
    <row r="16" spans="1:9" ht="18" customHeight="1" x14ac:dyDescent="0.45">
      <c r="A16" s="9" t="s">
        <v>105</v>
      </c>
      <c r="B16" s="122"/>
      <c r="C16" s="122"/>
      <c r="D16" s="122"/>
      <c r="E16" s="122"/>
      <c r="F16" s="13"/>
      <c r="G16" s="5"/>
    </row>
    <row r="17" spans="1:12" x14ac:dyDescent="0.45">
      <c r="A17" s="9"/>
      <c r="B17" s="12"/>
      <c r="C17" s="12"/>
      <c r="D17" s="12"/>
      <c r="E17" s="12"/>
      <c r="F17" s="12"/>
      <c r="G17" s="12"/>
      <c r="H17" s="119" t="s">
        <v>134</v>
      </c>
      <c r="I17" s="11" t="s">
        <v>135</v>
      </c>
      <c r="J17" s="11"/>
      <c r="K17" s="11"/>
      <c r="L17" s="11"/>
    </row>
    <row r="18" spans="1:12" ht="18" customHeight="1" x14ac:dyDescent="0.45">
      <c r="A18" s="9" t="s">
        <v>1</v>
      </c>
      <c r="B18" s="122"/>
      <c r="C18" s="122"/>
      <c r="D18" s="122"/>
      <c r="E18" s="122"/>
      <c r="F18" s="5"/>
      <c r="G18" s="5"/>
      <c r="I18" s="11" t="s">
        <v>133</v>
      </c>
      <c r="J18" s="11"/>
      <c r="K18" s="11"/>
      <c r="L18" s="11"/>
    </row>
    <row r="19" spans="1:12" x14ac:dyDescent="0.45">
      <c r="A19" s="11"/>
      <c r="B19" s="125"/>
      <c r="C19" s="125"/>
      <c r="D19" s="125"/>
      <c r="E19" s="125"/>
      <c r="F19" s="125"/>
      <c r="G19" s="125"/>
    </row>
    <row r="20" spans="1:12" ht="18" customHeight="1" x14ac:dyDescent="0.45">
      <c r="A20" s="9" t="s">
        <v>2</v>
      </c>
      <c r="B20" s="122"/>
      <c r="C20" s="122"/>
      <c r="D20" s="122"/>
      <c r="E20" s="122"/>
      <c r="F20" s="5"/>
      <c r="G20" s="5"/>
    </row>
    <row r="21" spans="1:12" ht="18" customHeight="1" x14ac:dyDescent="0.45">
      <c r="A21" s="5"/>
      <c r="B21" s="122"/>
      <c r="C21" s="122"/>
      <c r="D21" s="122"/>
      <c r="E21" s="122"/>
      <c r="F21" s="5"/>
      <c r="G21" s="5"/>
    </row>
    <row r="22" spans="1:12" x14ac:dyDescent="0.45">
      <c r="A22" s="5"/>
      <c r="B22" s="5"/>
      <c r="C22" s="5"/>
      <c r="D22" s="5"/>
      <c r="E22" s="5"/>
      <c r="F22" s="5"/>
      <c r="G22" s="5"/>
    </row>
    <row r="23" spans="1:12" x14ac:dyDescent="0.45">
      <c r="A23" s="9" t="s">
        <v>40</v>
      </c>
      <c r="B23" s="122"/>
      <c r="C23" s="122"/>
      <c r="D23" s="122"/>
      <c r="E23" s="122"/>
      <c r="F23" s="5"/>
      <c r="G23" s="5"/>
    </row>
    <row r="24" spans="1:12" x14ac:dyDescent="0.45">
      <c r="A24" s="5"/>
      <c r="B24" s="5"/>
      <c r="C24" s="5"/>
      <c r="D24" s="5"/>
      <c r="E24" s="5"/>
      <c r="F24" s="5"/>
      <c r="G24" s="5"/>
    </row>
    <row r="25" spans="1:12" x14ac:dyDescent="0.45">
      <c r="A25" s="5"/>
      <c r="B25" s="5"/>
      <c r="C25" s="5"/>
      <c r="D25" s="5"/>
      <c r="E25" s="5"/>
      <c r="F25" s="5"/>
      <c r="G25" s="5"/>
    </row>
    <row r="26" spans="1:12" x14ac:dyDescent="0.45">
      <c r="A26" s="7">
        <f>Kontrollblatt!G58</f>
        <v>0</v>
      </c>
      <c r="C26" s="124" t="s">
        <v>61</v>
      </c>
      <c r="D26" s="124"/>
      <c r="E26" s="1" t="s">
        <v>48</v>
      </c>
      <c r="F26" s="7" t="s">
        <v>49</v>
      </c>
      <c r="G26" s="113">
        <f>13*A26</f>
        <v>0</v>
      </c>
    </row>
    <row r="27" spans="1:12" x14ac:dyDescent="0.45">
      <c r="A27" s="8">
        <f>SUM(Kontrollblatt!H58:K58)</f>
        <v>0</v>
      </c>
      <c r="C27" s="124" t="s">
        <v>50</v>
      </c>
      <c r="D27" s="124"/>
      <c r="E27" s="1" t="s">
        <v>51</v>
      </c>
      <c r="F27" s="7" t="s">
        <v>49</v>
      </c>
      <c r="G27" s="113">
        <f>3*A27</f>
        <v>0</v>
      </c>
    </row>
    <row r="28" spans="1:12" x14ac:dyDescent="0.45">
      <c r="A28" s="5"/>
      <c r="B28" s="5"/>
      <c r="C28" s="5"/>
      <c r="D28" s="5"/>
      <c r="E28" s="5"/>
      <c r="F28" s="5"/>
      <c r="G28" s="28"/>
    </row>
    <row r="29" spans="1:12" x14ac:dyDescent="0.45">
      <c r="A29" s="9" t="s">
        <v>52</v>
      </c>
      <c r="B29" s="5"/>
      <c r="C29" s="5"/>
      <c r="D29" s="5"/>
      <c r="E29" s="5"/>
      <c r="F29" s="7" t="s">
        <v>49</v>
      </c>
      <c r="G29" s="114">
        <f>G26+G27</f>
        <v>0</v>
      </c>
    </row>
    <row r="30" spans="1:12" x14ac:dyDescent="0.45">
      <c r="A30" s="5"/>
      <c r="B30" s="5"/>
      <c r="C30" s="5"/>
      <c r="D30" s="5"/>
      <c r="E30" s="5"/>
      <c r="F30" s="5"/>
      <c r="G30" s="5"/>
    </row>
    <row r="31" spans="1:12" ht="15" customHeight="1" x14ac:dyDescent="0.45">
      <c r="A31" s="121" t="s">
        <v>115</v>
      </c>
      <c r="B31" s="121"/>
      <c r="C31" s="121"/>
      <c r="D31" s="121"/>
      <c r="E31" s="121"/>
      <c r="F31" s="121"/>
      <c r="G31" s="121"/>
    </row>
    <row r="32" spans="1:12" x14ac:dyDescent="0.45">
      <c r="A32" s="121"/>
      <c r="B32" s="121"/>
      <c r="C32" s="121"/>
      <c r="D32" s="121"/>
      <c r="E32" s="121"/>
      <c r="F32" s="121"/>
      <c r="G32" s="121"/>
    </row>
    <row r="33" spans="1:7" x14ac:dyDescent="0.45">
      <c r="A33" s="121"/>
      <c r="B33" s="121"/>
      <c r="C33" s="121"/>
      <c r="D33" s="121"/>
      <c r="E33" s="121"/>
      <c r="F33" s="121"/>
      <c r="G33" s="121"/>
    </row>
    <row r="34" spans="1:7" x14ac:dyDescent="0.45">
      <c r="A34" s="10"/>
      <c r="B34" s="10"/>
      <c r="C34" s="10"/>
      <c r="D34" s="10"/>
      <c r="E34" s="10"/>
      <c r="F34" s="10"/>
      <c r="G34" s="10"/>
    </row>
    <row r="35" spans="1:7" ht="29.25" customHeight="1" x14ac:dyDescent="0.45">
      <c r="A35" s="121" t="s">
        <v>53</v>
      </c>
      <c r="B35" s="121"/>
      <c r="C35" s="121"/>
      <c r="D35" s="121"/>
      <c r="E35" s="121"/>
      <c r="F35" s="121"/>
      <c r="G35" s="121"/>
    </row>
    <row r="36" spans="1:7" x14ac:dyDescent="0.45">
      <c r="A36" s="10"/>
      <c r="B36" s="10"/>
      <c r="C36" s="10"/>
      <c r="D36" s="10"/>
      <c r="E36" s="10"/>
      <c r="F36" s="10"/>
      <c r="G36" s="10"/>
    </row>
    <row r="37" spans="1:7" x14ac:dyDescent="0.45">
      <c r="A37" s="5" t="s">
        <v>54</v>
      </c>
      <c r="B37" s="5"/>
      <c r="C37" s="5"/>
      <c r="D37" s="5"/>
      <c r="E37" s="5"/>
      <c r="F37" s="5"/>
      <c r="G37" s="5"/>
    </row>
    <row r="38" spans="1:7" x14ac:dyDescent="0.45">
      <c r="A38" s="5"/>
      <c r="B38" s="5"/>
      <c r="C38" s="5"/>
      <c r="D38" s="5"/>
      <c r="E38" s="5"/>
      <c r="F38" s="5"/>
      <c r="G38" s="5"/>
    </row>
    <row r="39" spans="1:7" x14ac:dyDescent="0.45">
      <c r="A39" s="5"/>
      <c r="B39" s="5"/>
      <c r="C39" s="5"/>
      <c r="D39" s="5"/>
      <c r="E39" s="5"/>
      <c r="F39" s="5"/>
      <c r="G39" s="5"/>
    </row>
    <row r="40" spans="1:7" x14ac:dyDescent="0.45">
      <c r="A40" s="120" t="s">
        <v>104</v>
      </c>
      <c r="B40" s="120"/>
      <c r="C40" s="6">
        <f ca="1">A10+1</f>
        <v>2027</v>
      </c>
      <c r="D40" s="112"/>
      <c r="E40" s="5"/>
      <c r="F40" s="5"/>
      <c r="G40" s="5"/>
    </row>
    <row r="41" spans="1:7" x14ac:dyDescent="0.45">
      <c r="A41" s="5"/>
      <c r="B41" s="5"/>
      <c r="C41" s="5"/>
      <c r="D41" s="5"/>
      <c r="E41" s="5"/>
      <c r="F41" s="5"/>
      <c r="G41" s="5"/>
    </row>
    <row r="42" spans="1:7" x14ac:dyDescent="0.45">
      <c r="A42" s="5"/>
      <c r="B42" s="5"/>
      <c r="C42" s="5"/>
      <c r="D42" s="5"/>
      <c r="E42" s="5"/>
      <c r="F42" s="5"/>
      <c r="G42" s="5"/>
    </row>
    <row r="43" spans="1:7" x14ac:dyDescent="0.45">
      <c r="A43" s="5"/>
      <c r="B43" s="5"/>
      <c r="C43" s="5"/>
      <c r="D43" s="5"/>
      <c r="E43" s="5"/>
      <c r="F43" s="5"/>
      <c r="G43" s="5"/>
    </row>
    <row r="44" spans="1:7" x14ac:dyDescent="0.45">
      <c r="A44" s="5"/>
      <c r="B44" s="5"/>
      <c r="C44" s="5"/>
      <c r="D44" s="5"/>
      <c r="E44" s="5"/>
      <c r="F44" s="5"/>
      <c r="G44" s="5"/>
    </row>
    <row r="45" spans="1:7" x14ac:dyDescent="0.45">
      <c r="A45" s="5"/>
      <c r="B45" s="5"/>
      <c r="C45" s="5"/>
      <c r="D45" s="5"/>
      <c r="E45" s="5"/>
      <c r="F45" s="5"/>
      <c r="G45" s="5"/>
    </row>
    <row r="46" spans="1:7" x14ac:dyDescent="0.45">
      <c r="A46" s="5"/>
      <c r="B46" s="5"/>
      <c r="C46" s="5"/>
      <c r="D46" s="5"/>
      <c r="E46" s="5"/>
      <c r="F46" s="5"/>
      <c r="G46" s="5"/>
    </row>
    <row r="47" spans="1:7" x14ac:dyDescent="0.45">
      <c r="A47" s="5"/>
      <c r="B47" s="5"/>
      <c r="C47" s="5"/>
      <c r="D47" s="5"/>
      <c r="E47" s="5"/>
      <c r="F47" s="5"/>
      <c r="G47" s="5"/>
    </row>
    <row r="48" spans="1:7" x14ac:dyDescent="0.45">
      <c r="A48" s="5"/>
      <c r="B48" s="5"/>
      <c r="C48" s="5"/>
      <c r="D48" s="5"/>
      <c r="E48" s="5"/>
      <c r="F48" s="5"/>
      <c r="G48" s="5"/>
    </row>
    <row r="49" spans="1:7" x14ac:dyDescent="0.45">
      <c r="A49" s="5"/>
      <c r="B49" s="5"/>
      <c r="C49" s="5"/>
      <c r="D49" s="5"/>
      <c r="E49" s="5"/>
      <c r="F49" s="5"/>
      <c r="G49" s="5"/>
    </row>
    <row r="50" spans="1:7" x14ac:dyDescent="0.45">
      <c r="A50" s="5"/>
      <c r="B50" s="5"/>
      <c r="C50" s="5"/>
      <c r="D50" s="5"/>
      <c r="E50" s="5"/>
      <c r="F50" s="5"/>
      <c r="G50" s="5"/>
    </row>
    <row r="51" spans="1:7" x14ac:dyDescent="0.45">
      <c r="A51" s="5"/>
      <c r="B51" s="5"/>
      <c r="C51" s="5"/>
      <c r="D51" s="5"/>
      <c r="E51" s="5"/>
      <c r="F51" s="5"/>
      <c r="G51" s="5"/>
    </row>
    <row r="52" spans="1:7" x14ac:dyDescent="0.45">
      <c r="A52" s="5"/>
      <c r="B52" s="5"/>
      <c r="C52" s="5"/>
      <c r="D52" s="5"/>
      <c r="E52" s="5"/>
      <c r="F52" s="5"/>
      <c r="G52" s="5"/>
    </row>
    <row r="53" spans="1:7" x14ac:dyDescent="0.45">
      <c r="A53" s="5"/>
      <c r="B53" s="5"/>
      <c r="C53" s="5"/>
      <c r="D53" s="5"/>
      <c r="E53" s="5"/>
      <c r="F53" s="5"/>
      <c r="G53" s="5"/>
    </row>
    <row r="54" spans="1:7" x14ac:dyDescent="0.45">
      <c r="A54" s="5"/>
      <c r="B54" s="5"/>
      <c r="C54" s="5"/>
      <c r="D54" s="5"/>
      <c r="E54" s="5"/>
      <c r="F54" s="5"/>
      <c r="G54" s="5"/>
    </row>
  </sheetData>
  <sheetProtection algorithmName="SHA-512" hashValue="ogMg8k7Xok2m8zZcbkFQjjFPMGxo35ouflzUwXT6MxywhpKzl1o293fr3rgBRL/BwBnQodhxmoDh1BVDkS1xUQ==" saltValue="7pDD6H6lzl+X+C7RGro/FQ==" spinCount="100000" sheet="1" objects="1" scenarios="1"/>
  <protectedRanges>
    <protectedRange sqref="B14 B16 B18 B20:B21 D40" name="Bereich1"/>
  </protectedRanges>
  <mergeCells count="14">
    <mergeCell ref="A9:G9"/>
    <mergeCell ref="B20:E20"/>
    <mergeCell ref="C26:D26"/>
    <mergeCell ref="C27:D27"/>
    <mergeCell ref="A10:G10"/>
    <mergeCell ref="B19:G19"/>
    <mergeCell ref="B14:E14"/>
    <mergeCell ref="B16:E16"/>
    <mergeCell ref="B18:E18"/>
    <mergeCell ref="A40:B40"/>
    <mergeCell ref="A31:G33"/>
    <mergeCell ref="A35:G35"/>
    <mergeCell ref="B23:E23"/>
    <mergeCell ref="B21:E21"/>
  </mergeCells>
  <dataValidations count="2">
    <dataValidation type="list" allowBlank="1" showInputMessage="1" showErrorMessage="1" sqref="B14:E14" xr:uid="{00000000-0002-0000-0000-000000000000}">
      <formula1>Distanz</formula1>
    </dataValidation>
    <dataValidation type="list" allowBlank="1" showInputMessage="1" showErrorMessage="1" sqref="B16:E16" xr:uid="{00000000-0002-0000-0000-000001000000}">
      <formula1>INDIRECT(B14)</formula1>
    </dataValidation>
  </dataValidations>
  <pageMargins left="0.70866141732283472" right="0.70866141732283472" top="0.78740157480314965" bottom="0.78740157480314965" header="0.31496062992125984" footer="0.31496062992125984"/>
  <pageSetup paperSize="9" scale="98" orientation="portrait" horizontalDpi="4294967295" verticalDpi="4294967295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Liste!$A$2:$A$3</xm:f>
          </x14:formula1>
          <xm:sqref>G16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>
    <pageSetUpPr fitToPage="1"/>
  </sheetPr>
  <dimension ref="A1:AE58"/>
  <sheetViews>
    <sheetView showGridLines="0" zoomScaleNormal="100" workbookViewId="0">
      <selection activeCell="E24" sqref="E24"/>
    </sheetView>
  </sheetViews>
  <sheetFormatPr baseColWidth="10" defaultColWidth="11.3984375" defaultRowHeight="13.5" x14ac:dyDescent="0.35"/>
  <cols>
    <col min="1" max="1" width="3.73046875" style="5" customWidth="1"/>
    <col min="2" max="3" width="14.73046875" style="5" customWidth="1"/>
    <col min="4" max="5" width="5.73046875" style="5" customWidth="1"/>
    <col min="6" max="6" width="14" style="5" bestFit="1" customWidth="1"/>
    <col min="7" max="11" width="4.73046875" style="28" customWidth="1"/>
    <col min="12" max="12" width="8.59765625" style="28" bestFit="1" customWidth="1"/>
    <col min="13" max="13" width="6.1328125" style="28" customWidth="1"/>
    <col min="14" max="14" width="6.1328125" style="28" bestFit="1" customWidth="1"/>
    <col min="15" max="16" width="11.3984375" style="5"/>
    <col min="17" max="17" width="14.59765625" style="5" customWidth="1"/>
    <col min="18" max="20" width="6.73046875" style="28" customWidth="1"/>
    <col min="21" max="22" width="6.73046875" style="5" customWidth="1"/>
    <col min="23" max="23" width="3.86328125" style="5" hidden="1" customWidth="1"/>
    <col min="24" max="24" width="4.265625" style="5" hidden="1" customWidth="1"/>
    <col min="25" max="27" width="5.1328125" style="5" hidden="1" customWidth="1"/>
    <col min="28" max="28" width="5.59765625" style="5" hidden="1" customWidth="1"/>
    <col min="29" max="29" width="3" style="5" hidden="1" customWidth="1"/>
    <col min="30" max="30" width="4.265625" style="28" hidden="1" customWidth="1"/>
    <col min="31" max="31" width="11.1328125" style="28" hidden="1" customWidth="1"/>
    <col min="32" max="32" width="0" style="5" hidden="1" customWidth="1"/>
    <col min="33" max="16384" width="11.3984375" style="5"/>
  </cols>
  <sheetData>
    <row r="1" spans="1:31" ht="15" customHeight="1" x14ac:dyDescent="0.35">
      <c r="A1" s="124"/>
      <c r="B1" s="124"/>
      <c r="C1" s="124"/>
      <c r="D1" s="124"/>
      <c r="E1" s="124"/>
      <c r="F1" s="124"/>
      <c r="G1" s="124"/>
      <c r="H1" s="124"/>
      <c r="I1" s="124"/>
    </row>
    <row r="2" spans="1:31" ht="15" customHeight="1" x14ac:dyDescent="0.35">
      <c r="A2" s="124"/>
      <c r="B2" s="124"/>
      <c r="C2" s="124"/>
      <c r="D2" s="124"/>
      <c r="E2" s="124"/>
      <c r="F2" s="124"/>
      <c r="G2" s="124"/>
      <c r="H2" s="124"/>
      <c r="I2" s="124"/>
    </row>
    <row r="3" spans="1:31" ht="15" customHeight="1" x14ac:dyDescent="0.35">
      <c r="A3" s="124"/>
      <c r="B3" s="124"/>
      <c r="C3" s="124"/>
      <c r="D3" s="124"/>
      <c r="E3" s="124"/>
      <c r="F3" s="124"/>
      <c r="G3" s="124"/>
      <c r="H3" s="124"/>
      <c r="I3" s="124"/>
    </row>
    <row r="4" spans="1:31" ht="15" customHeight="1" x14ac:dyDescent="0.35">
      <c r="A4" s="124"/>
      <c r="B4" s="124"/>
      <c r="C4" s="124"/>
      <c r="D4" s="124"/>
      <c r="E4" s="124"/>
      <c r="F4" s="124"/>
      <c r="G4" s="124"/>
      <c r="H4" s="124"/>
      <c r="I4" s="124"/>
    </row>
    <row r="5" spans="1:31" ht="15" customHeight="1" x14ac:dyDescent="0.35">
      <c r="A5" s="124"/>
      <c r="B5" s="124"/>
      <c r="C5" s="124"/>
      <c r="D5" s="124"/>
      <c r="E5" s="124"/>
      <c r="F5" s="124"/>
      <c r="G5" s="124"/>
      <c r="H5" s="124"/>
      <c r="I5" s="124"/>
    </row>
    <row r="6" spans="1:31" ht="15" customHeight="1" x14ac:dyDescent="0.35">
      <c r="A6" s="124"/>
      <c r="B6" s="124"/>
      <c r="C6" s="124"/>
      <c r="D6" s="124"/>
      <c r="E6" s="124"/>
      <c r="F6" s="124"/>
      <c r="G6" s="124"/>
      <c r="H6" s="124"/>
      <c r="I6" s="124"/>
    </row>
    <row r="7" spans="1:31" ht="15" customHeight="1" x14ac:dyDescent="0.4">
      <c r="A7" s="139" t="s">
        <v>0</v>
      </c>
      <c r="B7" s="139"/>
    </row>
    <row r="9" spans="1:31" ht="22.5" x14ac:dyDescent="0.6">
      <c r="A9" s="123" t="s">
        <v>24</v>
      </c>
      <c r="B9" s="123"/>
      <c r="C9" s="123"/>
      <c r="D9" s="123"/>
      <c r="E9" s="123"/>
      <c r="F9" s="123"/>
      <c r="G9" s="123"/>
      <c r="H9" s="123"/>
      <c r="I9" s="123"/>
      <c r="J9" s="123"/>
      <c r="K9" s="123"/>
      <c r="L9" s="123"/>
      <c r="M9" s="123"/>
      <c r="N9" s="123"/>
    </row>
    <row r="10" spans="1:31" ht="22.5" x14ac:dyDescent="0.35">
      <c r="C10" s="140">
        <f ca="1">YEAR(Abrechnung!G12)</f>
        <v>2026</v>
      </c>
      <c r="D10" s="140"/>
      <c r="E10" s="140"/>
      <c r="F10" s="140"/>
      <c r="G10" s="140"/>
      <c r="H10" s="140"/>
      <c r="I10" s="140"/>
      <c r="J10" s="140"/>
      <c r="K10" s="140"/>
    </row>
    <row r="12" spans="1:31" ht="13.9" x14ac:dyDescent="0.4">
      <c r="B12" s="9" t="s">
        <v>4</v>
      </c>
      <c r="C12" s="141" t="str">
        <f>IF(Abrechnung!B14 ="","",Abrechnung!B14)</f>
        <v/>
      </c>
      <c r="D12" s="141"/>
      <c r="E12" s="141"/>
      <c r="F12" s="141"/>
      <c r="G12" s="13"/>
    </row>
    <row r="13" spans="1:31" ht="13.9" x14ac:dyDescent="0.4">
      <c r="B13" s="9"/>
      <c r="C13" s="12"/>
      <c r="D13" s="12"/>
      <c r="E13" s="12"/>
      <c r="F13" s="12"/>
    </row>
    <row r="14" spans="1:31" ht="13.9" x14ac:dyDescent="0.4">
      <c r="B14" s="9" t="s">
        <v>105</v>
      </c>
      <c r="C14" s="141" t="str">
        <f>IF(Abrechnung!B16 ="","",Abrechnung!B16)</f>
        <v/>
      </c>
      <c r="D14" s="141"/>
      <c r="E14" s="141"/>
      <c r="F14" s="141"/>
      <c r="G14" s="13"/>
    </row>
    <row r="15" spans="1:31" ht="13.9" thickBot="1" x14ac:dyDescent="0.4"/>
    <row r="16" spans="1:31" s="31" customFormat="1" ht="12" thickBot="1" x14ac:dyDescent="0.4">
      <c r="A16" s="133" t="s">
        <v>25</v>
      </c>
      <c r="B16" s="135" t="s">
        <v>16</v>
      </c>
      <c r="C16" s="137" t="s">
        <v>15</v>
      </c>
      <c r="D16" s="81" t="s">
        <v>14</v>
      </c>
      <c r="E16" s="82" t="s">
        <v>55</v>
      </c>
      <c r="F16" s="83" t="s">
        <v>109</v>
      </c>
      <c r="G16" s="83" t="s">
        <v>13</v>
      </c>
      <c r="H16" s="83" t="s">
        <v>12</v>
      </c>
      <c r="I16" s="83" t="s">
        <v>11</v>
      </c>
      <c r="J16" s="83" t="s">
        <v>10</v>
      </c>
      <c r="K16" s="84" t="s">
        <v>35</v>
      </c>
      <c r="L16" s="85" t="s">
        <v>63</v>
      </c>
      <c r="M16" s="86" t="s">
        <v>9</v>
      </c>
      <c r="N16" s="87" t="s">
        <v>37</v>
      </c>
      <c r="R16" s="32"/>
      <c r="S16" s="32"/>
      <c r="T16" s="32"/>
      <c r="X16" s="88" t="s">
        <v>13</v>
      </c>
      <c r="Y16" s="89" t="s">
        <v>12</v>
      </c>
      <c r="Z16" s="89" t="s">
        <v>11</v>
      </c>
      <c r="AA16" s="89" t="s">
        <v>10</v>
      </c>
      <c r="AB16" s="90" t="s">
        <v>35</v>
      </c>
      <c r="AD16" s="91" t="s">
        <v>112</v>
      </c>
      <c r="AE16" s="92" t="s">
        <v>110</v>
      </c>
    </row>
    <row r="17" spans="1:31" s="31" customFormat="1" ht="15.75" customHeight="1" thickBot="1" x14ac:dyDescent="0.4">
      <c r="A17" s="134"/>
      <c r="B17" s="136"/>
      <c r="C17" s="138"/>
      <c r="D17" s="93" t="s">
        <v>102</v>
      </c>
      <c r="E17" s="94" t="s">
        <v>56</v>
      </c>
      <c r="F17" s="95" t="str">
        <f>IF(C12="G300m","W300m",IF(C12="P50m","W50m",IF(C12="","","W25m")))</f>
        <v/>
      </c>
      <c r="G17" s="96" t="s">
        <v>8</v>
      </c>
      <c r="H17" s="96" t="s">
        <v>8</v>
      </c>
      <c r="I17" s="96" t="s">
        <v>8</v>
      </c>
      <c r="J17" s="96" t="s">
        <v>8</v>
      </c>
      <c r="K17" s="97" t="s">
        <v>39</v>
      </c>
      <c r="L17" s="98" t="s">
        <v>62</v>
      </c>
      <c r="M17" s="99" t="s">
        <v>36</v>
      </c>
      <c r="N17" s="100" t="s">
        <v>38</v>
      </c>
      <c r="O17" s="101"/>
      <c r="P17" s="102"/>
      <c r="Q17" s="103"/>
      <c r="R17" s="104" t="s">
        <v>57</v>
      </c>
      <c r="S17" s="105" t="s">
        <v>58</v>
      </c>
      <c r="T17" s="105" t="s">
        <v>44</v>
      </c>
      <c r="U17" s="105" t="s">
        <v>59</v>
      </c>
      <c r="V17" s="104" t="s">
        <v>60</v>
      </c>
      <c r="X17" s="106"/>
      <c r="Y17" s="107"/>
      <c r="Z17" s="107"/>
      <c r="AA17" s="107"/>
      <c r="AB17" s="108"/>
      <c r="AD17" s="109" t="s">
        <v>57</v>
      </c>
      <c r="AE17" s="110">
        <v>2</v>
      </c>
    </row>
    <row r="18" spans="1:31" s="31" customFormat="1" ht="14.1" customHeight="1" x14ac:dyDescent="0.35">
      <c r="A18" s="80">
        <v>1</v>
      </c>
      <c r="B18" s="15"/>
      <c r="C18" s="16"/>
      <c r="D18" s="17"/>
      <c r="E18" s="40" t="str">
        <f>IF(D18&lt;&gt;"",IF(ABS(D18-$C$10)&gt;=60,IF(ABS(D18-$C$10)&gt;=70,IF(ABS(D18-$C$10)&gt;100," ","SV"),"V"),IF(ABS(D18-$C$10)&lt;=16,"U17",IF(ABS(D18-$C$10)&lt;=20,"U21","E"))),"")</f>
        <v/>
      </c>
      <c r="F18" s="16"/>
      <c r="G18" s="17"/>
      <c r="H18" s="17"/>
      <c r="I18" s="17"/>
      <c r="J18" s="17"/>
      <c r="K18" s="17"/>
      <c r="L18" s="46" t="str">
        <f>IFERROR(SUM(X18:AB18),"")</f>
        <v/>
      </c>
      <c r="M18" s="30" t="str">
        <f>IF(L18=1,"X",IF(L18=2,"X"," "))</f>
        <v xml:space="preserve"> </v>
      </c>
      <c r="N18" s="30" t="str">
        <f>IF(L18=3,"X",IF(L18=4,"X",IF(L18=5,"X"," ")))</f>
        <v xml:space="preserve"> </v>
      </c>
      <c r="O18" s="47"/>
      <c r="P18" s="130" t="s">
        <v>45</v>
      </c>
      <c r="Q18" s="48" t="s">
        <v>27</v>
      </c>
      <c r="R18" s="49">
        <v>87</v>
      </c>
      <c r="S18" s="50">
        <v>88</v>
      </c>
      <c r="T18" s="50">
        <v>90</v>
      </c>
      <c r="U18" s="50">
        <v>88</v>
      </c>
      <c r="V18" s="49">
        <v>87</v>
      </c>
      <c r="X18" s="51" t="e">
        <f t="shared" ref="X18:Y57" si="0">IF(G18&gt;= VLOOKUP($F18,$Q$18:$V$28,VLOOKUP($E18,$AD$17:$AE$21,2,FALSE),FALSE),1,0)</f>
        <v>#N/A</v>
      </c>
      <c r="Y18" s="52" t="e">
        <f t="shared" si="0"/>
        <v>#N/A</v>
      </c>
      <c r="Z18" s="52" t="e">
        <f t="shared" ref="Z18:Z57" si="1">IF(I18&gt;= VLOOKUP($F18,$Q$18:$V$28,VLOOKUP($E18,$AD$17:$AE$21,2,FALSE),FALSE),1,0)</f>
        <v>#N/A</v>
      </c>
      <c r="AA18" s="52" t="e">
        <f t="shared" ref="AA18:AA57" si="2">IF(J18&gt;= VLOOKUP($F18,$Q$18:$V$28,VLOOKUP($E18,$AD$17:$AE$21,2,FALSE),FALSE),1,0)</f>
        <v>#N/A</v>
      </c>
      <c r="AB18" s="53" t="e">
        <f t="shared" ref="AB18:AB57" si="3">IF(K18&gt;= VLOOKUP($F18,$Q$18:$V$28,VLOOKUP($E18,$AD$17:$AE$21,2,FALSE),FALSE),1,0)</f>
        <v>#N/A</v>
      </c>
      <c r="AD18" s="54" t="s">
        <v>58</v>
      </c>
      <c r="AE18" s="55">
        <v>3</v>
      </c>
    </row>
    <row r="19" spans="1:31" s="31" customFormat="1" ht="14.1" customHeight="1" x14ac:dyDescent="0.35">
      <c r="A19" s="44">
        <v>2</v>
      </c>
      <c r="B19" s="18"/>
      <c r="C19" s="19"/>
      <c r="D19" s="20"/>
      <c r="E19" s="42" t="str">
        <f t="shared" ref="E19:E57" si="4">IF(D19&lt;&gt;"",IF(ABS(D19-$C$10)&gt;=60,IF(ABS(D19-$C$10)&gt;=70,IF(ABS(D19-$C$10)&gt;100," ","SV"),"V"),IF(ABS(D19-$C$10)&lt;=16,"U17",IF(ABS(D19-$C$10)&lt;=20,"U21","E"))),"")</f>
        <v/>
      </c>
      <c r="F19" s="16"/>
      <c r="G19" s="17"/>
      <c r="H19" s="17"/>
      <c r="I19" s="17"/>
      <c r="J19" s="17"/>
      <c r="K19" s="17"/>
      <c r="L19" s="29" t="str">
        <f t="shared" ref="L19:L57" si="5">IFERROR(SUM(X19:AB19),"")</f>
        <v/>
      </c>
      <c r="M19" s="30" t="str">
        <f>IF(L19=1,"X",IF(L19=2,"X"," "))</f>
        <v xml:space="preserve"> </v>
      </c>
      <c r="N19" s="30" t="str">
        <f t="shared" ref="N19:N57" si="6">IF(L19=3,"X",IF(L19=4,"X",IF(L19=5,"X"," ")))</f>
        <v xml:space="preserve"> </v>
      </c>
      <c r="P19" s="131"/>
      <c r="Q19" s="56" t="s">
        <v>29</v>
      </c>
      <c r="R19" s="57">
        <v>87</v>
      </c>
      <c r="S19" s="58">
        <v>88</v>
      </c>
      <c r="T19" s="58">
        <v>90</v>
      </c>
      <c r="U19" s="58">
        <v>88</v>
      </c>
      <c r="V19" s="57">
        <v>87</v>
      </c>
      <c r="X19" s="33" t="e">
        <f t="shared" ref="X19:X57" si="7">IF(G19&gt;= VLOOKUP($F19,$Q$18:$V$28,VLOOKUP($E19,$AD$17:$AE$21,2,FALSE),FALSE),1,0)</f>
        <v>#N/A</v>
      </c>
      <c r="Y19" s="34" t="e">
        <f t="shared" si="0"/>
        <v>#N/A</v>
      </c>
      <c r="Z19" s="34" t="e">
        <f t="shared" si="1"/>
        <v>#N/A</v>
      </c>
      <c r="AA19" s="34" t="e">
        <f t="shared" si="2"/>
        <v>#N/A</v>
      </c>
      <c r="AB19" s="35" t="e">
        <f t="shared" si="3"/>
        <v>#N/A</v>
      </c>
      <c r="AD19" s="54" t="s">
        <v>111</v>
      </c>
      <c r="AE19" s="55">
        <v>4</v>
      </c>
    </row>
    <row r="20" spans="1:31" s="31" customFormat="1" ht="14.1" customHeight="1" x14ac:dyDescent="0.35">
      <c r="A20" s="44">
        <v>3</v>
      </c>
      <c r="B20" s="18"/>
      <c r="C20" s="19"/>
      <c r="D20" s="20"/>
      <c r="E20" s="42" t="str">
        <f t="shared" si="4"/>
        <v/>
      </c>
      <c r="F20" s="16"/>
      <c r="G20" s="17"/>
      <c r="H20" s="17"/>
      <c r="I20" s="17"/>
      <c r="J20" s="17"/>
      <c r="K20" s="17"/>
      <c r="L20" s="29" t="str">
        <f t="shared" si="5"/>
        <v/>
      </c>
      <c r="M20" s="30" t="str">
        <f t="shared" ref="M20:M57" si="8">IF(L20=1,"X",IF(L20=2,"X"," "))</f>
        <v xml:space="preserve"> </v>
      </c>
      <c r="N20" s="30" t="str">
        <f t="shared" si="6"/>
        <v xml:space="preserve"> </v>
      </c>
      <c r="P20" s="131"/>
      <c r="Q20" s="56" t="s">
        <v>28</v>
      </c>
      <c r="R20" s="57">
        <v>80</v>
      </c>
      <c r="S20" s="58">
        <v>81</v>
      </c>
      <c r="T20" s="58">
        <v>83</v>
      </c>
      <c r="U20" s="58">
        <v>81</v>
      </c>
      <c r="V20" s="57">
        <v>80</v>
      </c>
      <c r="X20" s="33" t="e">
        <f t="shared" si="7"/>
        <v>#N/A</v>
      </c>
      <c r="Y20" s="34" t="e">
        <f t="shared" si="0"/>
        <v>#N/A</v>
      </c>
      <c r="Z20" s="34" t="e">
        <f t="shared" si="1"/>
        <v>#N/A</v>
      </c>
      <c r="AA20" s="34" t="e">
        <f t="shared" si="2"/>
        <v>#N/A</v>
      </c>
      <c r="AB20" s="35" t="e">
        <f t="shared" si="3"/>
        <v>#N/A</v>
      </c>
      <c r="AD20" s="54" t="s">
        <v>59</v>
      </c>
      <c r="AE20" s="55">
        <v>5</v>
      </c>
    </row>
    <row r="21" spans="1:31" s="31" customFormat="1" ht="14.1" customHeight="1" thickBot="1" x14ac:dyDescent="0.4">
      <c r="A21" s="44">
        <v>4</v>
      </c>
      <c r="B21" s="18"/>
      <c r="C21" s="19"/>
      <c r="D21" s="20"/>
      <c r="E21" s="41" t="str">
        <f t="shared" si="4"/>
        <v/>
      </c>
      <c r="F21" s="16"/>
      <c r="G21" s="17"/>
      <c r="H21" s="17"/>
      <c r="I21" s="17"/>
      <c r="J21" s="17"/>
      <c r="K21" s="17"/>
      <c r="L21" s="29" t="str">
        <f t="shared" si="5"/>
        <v/>
      </c>
      <c r="M21" s="30" t="str">
        <f t="shared" si="8"/>
        <v xml:space="preserve"> </v>
      </c>
      <c r="N21" s="30" t="str">
        <f t="shared" si="6"/>
        <v xml:space="preserve"> </v>
      </c>
      <c r="P21" s="131"/>
      <c r="Q21" s="56" t="s">
        <v>41</v>
      </c>
      <c r="R21" s="57">
        <v>83</v>
      </c>
      <c r="S21" s="58">
        <v>84</v>
      </c>
      <c r="T21" s="58">
        <v>86</v>
      </c>
      <c r="U21" s="58">
        <v>84</v>
      </c>
      <c r="V21" s="57">
        <v>83</v>
      </c>
      <c r="X21" s="33" t="e">
        <f t="shared" si="7"/>
        <v>#N/A</v>
      </c>
      <c r="Y21" s="34" t="e">
        <f t="shared" si="0"/>
        <v>#N/A</v>
      </c>
      <c r="Z21" s="34" t="e">
        <f t="shared" si="1"/>
        <v>#N/A</v>
      </c>
      <c r="AA21" s="34" t="e">
        <f t="shared" si="2"/>
        <v>#N/A</v>
      </c>
      <c r="AB21" s="35" t="e">
        <f t="shared" si="3"/>
        <v>#N/A</v>
      </c>
      <c r="AD21" s="59" t="s">
        <v>60</v>
      </c>
      <c r="AE21" s="60">
        <v>6</v>
      </c>
    </row>
    <row r="22" spans="1:31" s="31" customFormat="1" ht="14.1" customHeight="1" x14ac:dyDescent="0.35">
      <c r="A22" s="44">
        <v>5</v>
      </c>
      <c r="B22" s="18"/>
      <c r="C22" s="19"/>
      <c r="D22" s="20"/>
      <c r="E22" s="41" t="str">
        <f t="shared" si="4"/>
        <v/>
      </c>
      <c r="F22" s="16"/>
      <c r="G22" s="17"/>
      <c r="H22" s="17"/>
      <c r="I22" s="17"/>
      <c r="J22" s="17"/>
      <c r="K22" s="17"/>
      <c r="L22" s="29" t="str">
        <f t="shared" si="5"/>
        <v/>
      </c>
      <c r="M22" s="30" t="str">
        <f t="shared" si="8"/>
        <v xml:space="preserve"> </v>
      </c>
      <c r="N22" s="30" t="str">
        <f t="shared" si="6"/>
        <v xml:space="preserve"> </v>
      </c>
      <c r="P22" s="131"/>
      <c r="Q22" s="56" t="s">
        <v>42</v>
      </c>
      <c r="R22" s="57">
        <v>78</v>
      </c>
      <c r="S22" s="58">
        <v>79</v>
      </c>
      <c r="T22" s="58">
        <v>81</v>
      </c>
      <c r="U22" s="58">
        <v>79</v>
      </c>
      <c r="V22" s="57">
        <v>78</v>
      </c>
      <c r="X22" s="33" t="e">
        <f t="shared" si="7"/>
        <v>#N/A</v>
      </c>
      <c r="Y22" s="34" t="e">
        <f t="shared" si="0"/>
        <v>#N/A</v>
      </c>
      <c r="Z22" s="34" t="e">
        <f t="shared" si="1"/>
        <v>#N/A</v>
      </c>
      <c r="AA22" s="34" t="e">
        <f t="shared" si="2"/>
        <v>#N/A</v>
      </c>
      <c r="AB22" s="35" t="e">
        <f t="shared" si="3"/>
        <v>#N/A</v>
      </c>
      <c r="AD22" s="32"/>
      <c r="AE22" s="32"/>
    </row>
    <row r="23" spans="1:31" s="31" customFormat="1" ht="14.1" customHeight="1" thickBot="1" x14ac:dyDescent="0.4">
      <c r="A23" s="44">
        <v>6</v>
      </c>
      <c r="B23" s="18"/>
      <c r="C23" s="19"/>
      <c r="D23" s="20"/>
      <c r="E23" s="40" t="str">
        <f t="shared" si="4"/>
        <v/>
      </c>
      <c r="F23" s="16"/>
      <c r="G23" s="17"/>
      <c r="H23" s="17"/>
      <c r="I23" s="17"/>
      <c r="J23" s="17"/>
      <c r="K23" s="17"/>
      <c r="L23" s="29" t="str">
        <f t="shared" si="5"/>
        <v/>
      </c>
      <c r="M23" s="30" t="str">
        <f t="shared" si="8"/>
        <v xml:space="preserve"> </v>
      </c>
      <c r="N23" s="30" t="str">
        <f t="shared" si="6"/>
        <v xml:space="preserve"> </v>
      </c>
      <c r="P23" s="132"/>
      <c r="Q23" s="61" t="s">
        <v>43</v>
      </c>
      <c r="R23" s="62">
        <v>80</v>
      </c>
      <c r="S23" s="63">
        <v>81</v>
      </c>
      <c r="T23" s="63">
        <v>83</v>
      </c>
      <c r="U23" s="63">
        <v>81</v>
      </c>
      <c r="V23" s="62">
        <v>80</v>
      </c>
      <c r="X23" s="33" t="e">
        <f t="shared" si="7"/>
        <v>#N/A</v>
      </c>
      <c r="Y23" s="34" t="e">
        <f t="shared" si="0"/>
        <v>#N/A</v>
      </c>
      <c r="Z23" s="34" t="e">
        <f t="shared" si="1"/>
        <v>#N/A</v>
      </c>
      <c r="AA23" s="34" t="e">
        <f t="shared" si="2"/>
        <v>#N/A</v>
      </c>
      <c r="AB23" s="35" t="e">
        <f t="shared" si="3"/>
        <v>#N/A</v>
      </c>
      <c r="AD23" s="32"/>
      <c r="AE23" s="32"/>
    </row>
    <row r="24" spans="1:31" s="31" customFormat="1" ht="14.1" customHeight="1" x14ac:dyDescent="0.35">
      <c r="A24" s="44">
        <v>7</v>
      </c>
      <c r="B24" s="18"/>
      <c r="C24" s="19"/>
      <c r="D24" s="20"/>
      <c r="E24" s="42" t="str">
        <f t="shared" si="4"/>
        <v/>
      </c>
      <c r="F24" s="16"/>
      <c r="G24" s="17"/>
      <c r="H24" s="17"/>
      <c r="I24" s="17"/>
      <c r="J24" s="17"/>
      <c r="K24" s="17"/>
      <c r="L24" s="29" t="str">
        <f t="shared" si="5"/>
        <v/>
      </c>
      <c r="M24" s="30" t="str">
        <f t="shared" si="8"/>
        <v xml:space="preserve"> </v>
      </c>
      <c r="N24" s="30" t="str">
        <f t="shared" si="6"/>
        <v xml:space="preserve"> </v>
      </c>
      <c r="P24" s="126" t="s">
        <v>46</v>
      </c>
      <c r="Q24" s="64" t="s">
        <v>32</v>
      </c>
      <c r="R24" s="65">
        <v>174</v>
      </c>
      <c r="S24" s="66">
        <v>178</v>
      </c>
      <c r="T24" s="66">
        <v>182</v>
      </c>
      <c r="U24" s="66">
        <v>178</v>
      </c>
      <c r="V24" s="65">
        <v>174</v>
      </c>
      <c r="X24" s="33" t="e">
        <f t="shared" si="7"/>
        <v>#N/A</v>
      </c>
      <c r="Y24" s="34" t="e">
        <f t="shared" si="0"/>
        <v>#N/A</v>
      </c>
      <c r="Z24" s="34" t="e">
        <f t="shared" si="1"/>
        <v>#N/A</v>
      </c>
      <c r="AA24" s="34" t="e">
        <f t="shared" si="2"/>
        <v>#N/A</v>
      </c>
      <c r="AB24" s="35" t="e">
        <f t="shared" si="3"/>
        <v>#N/A</v>
      </c>
      <c r="AD24" s="32"/>
      <c r="AE24" s="32"/>
    </row>
    <row r="25" spans="1:31" s="31" customFormat="1" ht="14.1" customHeight="1" thickBot="1" x14ac:dyDescent="0.4">
      <c r="A25" s="44">
        <v>8</v>
      </c>
      <c r="B25" s="18"/>
      <c r="C25" s="19"/>
      <c r="D25" s="20"/>
      <c r="E25" s="41" t="str">
        <f t="shared" si="4"/>
        <v/>
      </c>
      <c r="F25" s="16"/>
      <c r="G25" s="17"/>
      <c r="H25" s="17"/>
      <c r="I25" s="17"/>
      <c r="J25" s="17"/>
      <c r="K25" s="17"/>
      <c r="L25" s="29" t="str">
        <f t="shared" si="5"/>
        <v/>
      </c>
      <c r="M25" s="30" t="str">
        <f t="shared" si="8"/>
        <v xml:space="preserve"> </v>
      </c>
      <c r="N25" s="30" t="str">
        <f t="shared" si="6"/>
        <v xml:space="preserve"> </v>
      </c>
      <c r="P25" s="127"/>
      <c r="Q25" s="67" t="s">
        <v>31</v>
      </c>
      <c r="R25" s="68">
        <v>168</v>
      </c>
      <c r="S25" s="69">
        <v>170</v>
      </c>
      <c r="T25" s="69">
        <v>174</v>
      </c>
      <c r="U25" s="69">
        <v>170</v>
      </c>
      <c r="V25" s="68">
        <v>168</v>
      </c>
      <c r="X25" s="33" t="e">
        <f t="shared" si="7"/>
        <v>#N/A</v>
      </c>
      <c r="Y25" s="34" t="e">
        <f t="shared" si="0"/>
        <v>#N/A</v>
      </c>
      <c r="Z25" s="34" t="e">
        <f t="shared" si="1"/>
        <v>#N/A</v>
      </c>
      <c r="AA25" s="34" t="e">
        <f t="shared" si="2"/>
        <v>#N/A</v>
      </c>
      <c r="AB25" s="35" t="e">
        <f t="shared" si="3"/>
        <v>#N/A</v>
      </c>
      <c r="AD25" s="32"/>
      <c r="AE25" s="32"/>
    </row>
    <row r="26" spans="1:31" s="31" customFormat="1" ht="14.1" customHeight="1" x14ac:dyDescent="0.35">
      <c r="A26" s="44">
        <v>9</v>
      </c>
      <c r="B26" s="18"/>
      <c r="C26" s="19"/>
      <c r="D26" s="20"/>
      <c r="E26" s="41" t="str">
        <f t="shared" si="4"/>
        <v/>
      </c>
      <c r="F26" s="16"/>
      <c r="G26" s="17"/>
      <c r="H26" s="17"/>
      <c r="I26" s="17"/>
      <c r="J26" s="17"/>
      <c r="K26" s="17"/>
      <c r="L26" s="29" t="str">
        <f t="shared" si="5"/>
        <v/>
      </c>
      <c r="M26" s="30" t="str">
        <f t="shared" si="8"/>
        <v xml:space="preserve"> </v>
      </c>
      <c r="N26" s="30" t="str">
        <f t="shared" si="6"/>
        <v xml:space="preserve"> </v>
      </c>
      <c r="P26" s="128" t="s">
        <v>47</v>
      </c>
      <c r="Q26" s="70" t="s">
        <v>33</v>
      </c>
      <c r="R26" s="71">
        <v>87</v>
      </c>
      <c r="S26" s="72">
        <v>88</v>
      </c>
      <c r="T26" s="72">
        <v>90</v>
      </c>
      <c r="U26" s="72">
        <v>88</v>
      </c>
      <c r="V26" s="71">
        <v>87</v>
      </c>
      <c r="X26" s="33" t="e">
        <f t="shared" si="7"/>
        <v>#N/A</v>
      </c>
      <c r="Y26" s="34" t="e">
        <f t="shared" si="0"/>
        <v>#N/A</v>
      </c>
      <c r="Z26" s="34" t="e">
        <f t="shared" si="1"/>
        <v>#N/A</v>
      </c>
      <c r="AA26" s="34" t="e">
        <f t="shared" si="2"/>
        <v>#N/A</v>
      </c>
      <c r="AB26" s="35" t="e">
        <f t="shared" si="3"/>
        <v>#N/A</v>
      </c>
      <c r="AD26" s="32"/>
      <c r="AE26" s="32"/>
    </row>
    <row r="27" spans="1:31" s="31" customFormat="1" ht="14.1" customHeight="1" x14ac:dyDescent="0.35">
      <c r="A27" s="44">
        <v>10</v>
      </c>
      <c r="B27" s="18"/>
      <c r="C27" s="19"/>
      <c r="D27" s="20"/>
      <c r="E27" s="41" t="str">
        <f t="shared" si="4"/>
        <v/>
      </c>
      <c r="F27" s="16"/>
      <c r="G27" s="17"/>
      <c r="H27" s="17"/>
      <c r="I27" s="17"/>
      <c r="J27" s="17"/>
      <c r="K27" s="17"/>
      <c r="L27" s="29" t="str">
        <f t="shared" si="5"/>
        <v/>
      </c>
      <c r="M27" s="30" t="str">
        <f t="shared" si="8"/>
        <v xml:space="preserve"> </v>
      </c>
      <c r="N27" s="30" t="str">
        <f t="shared" si="6"/>
        <v xml:space="preserve"> </v>
      </c>
      <c r="P27" s="128"/>
      <c r="Q27" s="73" t="s">
        <v>113</v>
      </c>
      <c r="R27" s="74">
        <v>83</v>
      </c>
      <c r="S27" s="75">
        <v>84</v>
      </c>
      <c r="T27" s="75">
        <v>86</v>
      </c>
      <c r="U27" s="75">
        <v>84</v>
      </c>
      <c r="V27" s="74">
        <v>83</v>
      </c>
      <c r="X27" s="33" t="e">
        <f t="shared" si="7"/>
        <v>#N/A</v>
      </c>
      <c r="Y27" s="34" t="e">
        <f t="shared" si="0"/>
        <v>#N/A</v>
      </c>
      <c r="Z27" s="34" t="e">
        <f t="shared" si="1"/>
        <v>#N/A</v>
      </c>
      <c r="AA27" s="34" t="e">
        <f t="shared" si="2"/>
        <v>#N/A</v>
      </c>
      <c r="AB27" s="35" t="e">
        <f t="shared" si="3"/>
        <v>#N/A</v>
      </c>
      <c r="AD27" s="32"/>
      <c r="AE27" s="32"/>
    </row>
    <row r="28" spans="1:31" s="31" customFormat="1" ht="14.1" customHeight="1" thickBot="1" x14ac:dyDescent="0.4">
      <c r="A28" s="44">
        <v>11</v>
      </c>
      <c r="B28" s="18"/>
      <c r="C28" s="19"/>
      <c r="D28" s="20"/>
      <c r="E28" s="40" t="str">
        <f t="shared" si="4"/>
        <v/>
      </c>
      <c r="F28" s="16"/>
      <c r="G28" s="17"/>
      <c r="H28" s="17"/>
      <c r="I28" s="17"/>
      <c r="J28" s="17"/>
      <c r="K28" s="17"/>
      <c r="L28" s="29" t="str">
        <f t="shared" si="5"/>
        <v/>
      </c>
      <c r="M28" s="30" t="str">
        <f t="shared" si="8"/>
        <v xml:space="preserve"> </v>
      </c>
      <c r="N28" s="30" t="str">
        <f t="shared" si="6"/>
        <v xml:space="preserve"> </v>
      </c>
      <c r="P28" s="129"/>
      <c r="Q28" s="76" t="s">
        <v>30</v>
      </c>
      <c r="R28" s="77">
        <v>80</v>
      </c>
      <c r="S28" s="78">
        <v>81</v>
      </c>
      <c r="T28" s="78">
        <v>83</v>
      </c>
      <c r="U28" s="78">
        <v>81</v>
      </c>
      <c r="V28" s="77">
        <v>80</v>
      </c>
      <c r="X28" s="33" t="e">
        <f t="shared" si="7"/>
        <v>#N/A</v>
      </c>
      <c r="Y28" s="34" t="e">
        <f t="shared" si="0"/>
        <v>#N/A</v>
      </c>
      <c r="Z28" s="34" t="e">
        <f t="shared" si="1"/>
        <v>#N/A</v>
      </c>
      <c r="AA28" s="34" t="e">
        <f t="shared" si="2"/>
        <v>#N/A</v>
      </c>
      <c r="AB28" s="35" t="e">
        <f t="shared" si="3"/>
        <v>#N/A</v>
      </c>
      <c r="AD28" s="32"/>
      <c r="AE28" s="32"/>
    </row>
    <row r="29" spans="1:31" s="31" customFormat="1" ht="14.1" customHeight="1" x14ac:dyDescent="0.35">
      <c r="A29" s="44">
        <v>12</v>
      </c>
      <c r="B29" s="18"/>
      <c r="C29" s="19"/>
      <c r="D29" s="20"/>
      <c r="E29" s="42" t="str">
        <f t="shared" si="4"/>
        <v/>
      </c>
      <c r="F29" s="16"/>
      <c r="G29" s="17"/>
      <c r="H29" s="17"/>
      <c r="I29" s="17"/>
      <c r="J29" s="17"/>
      <c r="K29" s="17"/>
      <c r="L29" s="29" t="str">
        <f t="shared" si="5"/>
        <v/>
      </c>
      <c r="M29" s="30" t="str">
        <f t="shared" si="8"/>
        <v xml:space="preserve"> </v>
      </c>
      <c r="N29" s="30" t="str">
        <f t="shared" si="6"/>
        <v xml:space="preserve"> </v>
      </c>
      <c r="R29" s="32"/>
      <c r="S29" s="32"/>
      <c r="T29" s="32"/>
      <c r="X29" s="33" t="e">
        <f t="shared" si="7"/>
        <v>#N/A</v>
      </c>
      <c r="Y29" s="34" t="e">
        <f t="shared" si="0"/>
        <v>#N/A</v>
      </c>
      <c r="Z29" s="34" t="e">
        <f t="shared" si="1"/>
        <v>#N/A</v>
      </c>
      <c r="AA29" s="34" t="e">
        <f t="shared" si="2"/>
        <v>#N/A</v>
      </c>
      <c r="AB29" s="35" t="e">
        <f t="shared" si="3"/>
        <v>#N/A</v>
      </c>
      <c r="AD29" s="32"/>
      <c r="AE29" s="32"/>
    </row>
    <row r="30" spans="1:31" s="31" customFormat="1" ht="14.1" customHeight="1" x14ac:dyDescent="0.35">
      <c r="A30" s="44">
        <v>13</v>
      </c>
      <c r="B30" s="18"/>
      <c r="C30" s="19"/>
      <c r="D30" s="20"/>
      <c r="E30" s="41" t="str">
        <f t="shared" si="4"/>
        <v/>
      </c>
      <c r="F30" s="16"/>
      <c r="G30" s="17"/>
      <c r="H30" s="17"/>
      <c r="I30" s="17"/>
      <c r="J30" s="17"/>
      <c r="K30" s="17"/>
      <c r="L30" s="29" t="str">
        <f t="shared" si="5"/>
        <v/>
      </c>
      <c r="M30" s="30" t="str">
        <f t="shared" si="8"/>
        <v xml:space="preserve"> </v>
      </c>
      <c r="N30" s="30" t="str">
        <f t="shared" si="6"/>
        <v xml:space="preserve"> </v>
      </c>
      <c r="R30" s="32"/>
      <c r="S30" s="32"/>
      <c r="T30" s="32"/>
      <c r="X30" s="33" t="e">
        <f t="shared" si="7"/>
        <v>#N/A</v>
      </c>
      <c r="Y30" s="34" t="e">
        <f t="shared" si="0"/>
        <v>#N/A</v>
      </c>
      <c r="Z30" s="34" t="e">
        <f t="shared" si="1"/>
        <v>#N/A</v>
      </c>
      <c r="AA30" s="34" t="e">
        <f t="shared" si="2"/>
        <v>#N/A</v>
      </c>
      <c r="AB30" s="35" t="e">
        <f t="shared" si="3"/>
        <v>#N/A</v>
      </c>
      <c r="AD30" s="32"/>
      <c r="AE30" s="32"/>
    </row>
    <row r="31" spans="1:31" s="31" customFormat="1" ht="14.1" customHeight="1" x14ac:dyDescent="0.35">
      <c r="A31" s="44">
        <v>14</v>
      </c>
      <c r="B31" s="18"/>
      <c r="C31" s="19"/>
      <c r="D31" s="20"/>
      <c r="E31" s="40" t="str">
        <f t="shared" si="4"/>
        <v/>
      </c>
      <c r="F31" s="16"/>
      <c r="G31" s="17"/>
      <c r="H31" s="17"/>
      <c r="I31" s="17"/>
      <c r="J31" s="17"/>
      <c r="K31" s="17"/>
      <c r="L31" s="29" t="str">
        <f t="shared" si="5"/>
        <v/>
      </c>
      <c r="M31" s="30" t="str">
        <f t="shared" si="8"/>
        <v xml:space="preserve"> </v>
      </c>
      <c r="N31" s="30" t="str">
        <f t="shared" si="6"/>
        <v xml:space="preserve"> </v>
      </c>
      <c r="R31" s="32"/>
      <c r="S31" s="32"/>
      <c r="T31" s="32"/>
      <c r="U31" s="79"/>
      <c r="X31" s="33" t="e">
        <f t="shared" si="7"/>
        <v>#N/A</v>
      </c>
      <c r="Y31" s="34" t="e">
        <f t="shared" si="0"/>
        <v>#N/A</v>
      </c>
      <c r="Z31" s="34" t="e">
        <f t="shared" si="1"/>
        <v>#N/A</v>
      </c>
      <c r="AA31" s="34" t="e">
        <f t="shared" si="2"/>
        <v>#N/A</v>
      </c>
      <c r="AB31" s="35" t="e">
        <f t="shared" si="3"/>
        <v>#N/A</v>
      </c>
      <c r="AD31" s="32"/>
      <c r="AE31" s="32"/>
    </row>
    <row r="32" spans="1:31" s="31" customFormat="1" ht="14.1" customHeight="1" x14ac:dyDescent="0.35">
      <c r="A32" s="44">
        <v>15</v>
      </c>
      <c r="B32" s="18"/>
      <c r="C32" s="19"/>
      <c r="D32" s="20"/>
      <c r="E32" s="41" t="str">
        <f t="shared" si="4"/>
        <v/>
      </c>
      <c r="F32" s="16"/>
      <c r="G32" s="17"/>
      <c r="H32" s="17"/>
      <c r="I32" s="17"/>
      <c r="J32" s="17"/>
      <c r="K32" s="17"/>
      <c r="L32" s="29" t="str">
        <f t="shared" si="5"/>
        <v/>
      </c>
      <c r="M32" s="30" t="str">
        <f t="shared" si="8"/>
        <v xml:space="preserve"> </v>
      </c>
      <c r="N32" s="30" t="str">
        <f t="shared" si="6"/>
        <v xml:space="preserve"> </v>
      </c>
      <c r="R32" s="32"/>
      <c r="S32" s="32"/>
      <c r="T32" s="32"/>
      <c r="X32" s="33" t="e">
        <f t="shared" si="7"/>
        <v>#N/A</v>
      </c>
      <c r="Y32" s="34" t="e">
        <f t="shared" si="0"/>
        <v>#N/A</v>
      </c>
      <c r="Z32" s="34" t="e">
        <f t="shared" si="1"/>
        <v>#N/A</v>
      </c>
      <c r="AA32" s="34" t="e">
        <f t="shared" si="2"/>
        <v>#N/A</v>
      </c>
      <c r="AB32" s="35" t="e">
        <f t="shared" si="3"/>
        <v>#N/A</v>
      </c>
      <c r="AD32" s="32"/>
      <c r="AE32" s="32"/>
    </row>
    <row r="33" spans="1:31" s="31" customFormat="1" ht="14.1" customHeight="1" x14ac:dyDescent="0.35">
      <c r="A33" s="44">
        <v>16</v>
      </c>
      <c r="B33" s="18"/>
      <c r="C33" s="19"/>
      <c r="D33" s="20"/>
      <c r="E33" s="40" t="str">
        <f t="shared" si="4"/>
        <v/>
      </c>
      <c r="F33" s="16"/>
      <c r="G33" s="17"/>
      <c r="H33" s="17"/>
      <c r="I33" s="17"/>
      <c r="J33" s="17"/>
      <c r="K33" s="17"/>
      <c r="L33" s="29" t="str">
        <f t="shared" si="5"/>
        <v/>
      </c>
      <c r="M33" s="30" t="str">
        <f t="shared" si="8"/>
        <v xml:space="preserve"> </v>
      </c>
      <c r="N33" s="30" t="str">
        <f t="shared" si="6"/>
        <v xml:space="preserve"> </v>
      </c>
      <c r="R33" s="32"/>
      <c r="S33" s="32"/>
      <c r="T33" s="32"/>
      <c r="X33" s="33" t="e">
        <f t="shared" si="7"/>
        <v>#N/A</v>
      </c>
      <c r="Y33" s="34" t="e">
        <f t="shared" si="0"/>
        <v>#N/A</v>
      </c>
      <c r="Z33" s="34" t="e">
        <f t="shared" si="1"/>
        <v>#N/A</v>
      </c>
      <c r="AA33" s="34" t="e">
        <f t="shared" si="2"/>
        <v>#N/A</v>
      </c>
      <c r="AB33" s="35" t="e">
        <f t="shared" si="3"/>
        <v>#N/A</v>
      </c>
      <c r="AD33" s="32"/>
      <c r="AE33" s="32"/>
    </row>
    <row r="34" spans="1:31" s="31" customFormat="1" ht="14.1" customHeight="1" x14ac:dyDescent="0.35">
      <c r="A34" s="44">
        <v>17</v>
      </c>
      <c r="B34" s="18"/>
      <c r="C34" s="19"/>
      <c r="D34" s="20"/>
      <c r="E34" s="42" t="str">
        <f t="shared" si="4"/>
        <v/>
      </c>
      <c r="F34" s="16"/>
      <c r="G34" s="17"/>
      <c r="H34" s="17"/>
      <c r="I34" s="17"/>
      <c r="J34" s="17"/>
      <c r="K34" s="17"/>
      <c r="L34" s="29" t="str">
        <f t="shared" si="5"/>
        <v/>
      </c>
      <c r="M34" s="30" t="str">
        <f t="shared" si="8"/>
        <v xml:space="preserve"> </v>
      </c>
      <c r="N34" s="30" t="str">
        <f t="shared" si="6"/>
        <v xml:space="preserve"> </v>
      </c>
      <c r="R34" s="32"/>
      <c r="S34" s="32"/>
      <c r="T34" s="32"/>
      <c r="X34" s="33" t="e">
        <f t="shared" si="7"/>
        <v>#N/A</v>
      </c>
      <c r="Y34" s="34" t="e">
        <f t="shared" si="0"/>
        <v>#N/A</v>
      </c>
      <c r="Z34" s="34" t="e">
        <f t="shared" si="1"/>
        <v>#N/A</v>
      </c>
      <c r="AA34" s="34" t="e">
        <f t="shared" si="2"/>
        <v>#N/A</v>
      </c>
      <c r="AB34" s="35" t="e">
        <f t="shared" si="3"/>
        <v>#N/A</v>
      </c>
      <c r="AD34" s="32"/>
      <c r="AE34" s="32"/>
    </row>
    <row r="35" spans="1:31" s="31" customFormat="1" ht="14.1" customHeight="1" x14ac:dyDescent="0.35">
      <c r="A35" s="44">
        <v>18</v>
      </c>
      <c r="B35" s="18"/>
      <c r="C35" s="19"/>
      <c r="D35" s="20"/>
      <c r="E35" s="42" t="str">
        <f t="shared" si="4"/>
        <v/>
      </c>
      <c r="F35" s="16"/>
      <c r="G35" s="17"/>
      <c r="H35" s="17"/>
      <c r="I35" s="17"/>
      <c r="J35" s="17"/>
      <c r="K35" s="17"/>
      <c r="L35" s="29" t="str">
        <f t="shared" si="5"/>
        <v/>
      </c>
      <c r="M35" s="30" t="str">
        <f t="shared" si="8"/>
        <v xml:space="preserve"> </v>
      </c>
      <c r="N35" s="30" t="str">
        <f t="shared" si="6"/>
        <v xml:space="preserve"> </v>
      </c>
      <c r="R35" s="32"/>
      <c r="S35" s="32"/>
      <c r="T35" s="32"/>
      <c r="X35" s="33" t="e">
        <f t="shared" si="7"/>
        <v>#N/A</v>
      </c>
      <c r="Y35" s="34" t="e">
        <f t="shared" si="0"/>
        <v>#N/A</v>
      </c>
      <c r="Z35" s="34" t="e">
        <f t="shared" si="1"/>
        <v>#N/A</v>
      </c>
      <c r="AA35" s="34" t="e">
        <f t="shared" si="2"/>
        <v>#N/A</v>
      </c>
      <c r="AB35" s="35" t="e">
        <f t="shared" si="3"/>
        <v>#N/A</v>
      </c>
      <c r="AD35" s="32"/>
      <c r="AE35" s="32"/>
    </row>
    <row r="36" spans="1:31" s="31" customFormat="1" ht="14.1" customHeight="1" x14ac:dyDescent="0.35">
      <c r="A36" s="44">
        <v>19</v>
      </c>
      <c r="B36" s="18"/>
      <c r="C36" s="19"/>
      <c r="D36" s="20"/>
      <c r="E36" s="42" t="str">
        <f t="shared" si="4"/>
        <v/>
      </c>
      <c r="F36" s="16"/>
      <c r="G36" s="17"/>
      <c r="H36" s="17"/>
      <c r="I36" s="17"/>
      <c r="J36" s="17"/>
      <c r="K36" s="17"/>
      <c r="L36" s="29" t="str">
        <f t="shared" si="5"/>
        <v/>
      </c>
      <c r="M36" s="30" t="str">
        <f t="shared" si="8"/>
        <v xml:space="preserve"> </v>
      </c>
      <c r="N36" s="30" t="str">
        <f t="shared" si="6"/>
        <v xml:space="preserve"> </v>
      </c>
      <c r="R36" s="32"/>
      <c r="S36" s="32"/>
      <c r="T36" s="32"/>
      <c r="X36" s="33" t="e">
        <f t="shared" si="7"/>
        <v>#N/A</v>
      </c>
      <c r="Y36" s="34" t="e">
        <f t="shared" si="0"/>
        <v>#N/A</v>
      </c>
      <c r="Z36" s="34" t="e">
        <f t="shared" si="1"/>
        <v>#N/A</v>
      </c>
      <c r="AA36" s="34" t="e">
        <f t="shared" si="2"/>
        <v>#N/A</v>
      </c>
      <c r="AB36" s="35" t="e">
        <f t="shared" si="3"/>
        <v>#N/A</v>
      </c>
      <c r="AD36" s="32"/>
      <c r="AE36" s="32"/>
    </row>
    <row r="37" spans="1:31" s="31" customFormat="1" ht="14.1" customHeight="1" x14ac:dyDescent="0.35">
      <c r="A37" s="44">
        <v>20</v>
      </c>
      <c r="B37" s="18"/>
      <c r="C37" s="19"/>
      <c r="D37" s="20"/>
      <c r="E37" s="41" t="str">
        <f t="shared" si="4"/>
        <v/>
      </c>
      <c r="F37" s="16"/>
      <c r="G37" s="17"/>
      <c r="H37" s="17"/>
      <c r="I37" s="17"/>
      <c r="J37" s="17"/>
      <c r="K37" s="17"/>
      <c r="L37" s="29" t="str">
        <f t="shared" si="5"/>
        <v/>
      </c>
      <c r="M37" s="30" t="str">
        <f t="shared" si="8"/>
        <v xml:space="preserve"> </v>
      </c>
      <c r="N37" s="30" t="str">
        <f t="shared" si="6"/>
        <v xml:space="preserve"> </v>
      </c>
      <c r="R37" s="32"/>
      <c r="S37" s="32"/>
      <c r="T37" s="32"/>
      <c r="X37" s="33" t="e">
        <f t="shared" si="7"/>
        <v>#N/A</v>
      </c>
      <c r="Y37" s="34" t="e">
        <f t="shared" si="0"/>
        <v>#N/A</v>
      </c>
      <c r="Z37" s="34" t="e">
        <f t="shared" si="1"/>
        <v>#N/A</v>
      </c>
      <c r="AA37" s="34" t="e">
        <f t="shared" si="2"/>
        <v>#N/A</v>
      </c>
      <c r="AB37" s="35" t="e">
        <f t="shared" si="3"/>
        <v>#N/A</v>
      </c>
      <c r="AD37" s="32"/>
      <c r="AE37" s="32"/>
    </row>
    <row r="38" spans="1:31" s="31" customFormat="1" ht="14.1" customHeight="1" x14ac:dyDescent="0.35">
      <c r="A38" s="44">
        <v>21</v>
      </c>
      <c r="B38" s="18"/>
      <c r="C38" s="19"/>
      <c r="D38" s="20"/>
      <c r="E38" s="40" t="str">
        <f t="shared" si="4"/>
        <v/>
      </c>
      <c r="F38" s="16"/>
      <c r="G38" s="17"/>
      <c r="H38" s="17"/>
      <c r="I38" s="17"/>
      <c r="J38" s="17"/>
      <c r="K38" s="17"/>
      <c r="L38" s="29" t="str">
        <f t="shared" si="5"/>
        <v/>
      </c>
      <c r="M38" s="30" t="str">
        <f t="shared" si="8"/>
        <v xml:space="preserve"> </v>
      </c>
      <c r="N38" s="30" t="str">
        <f t="shared" si="6"/>
        <v xml:space="preserve"> </v>
      </c>
      <c r="R38" s="32"/>
      <c r="S38" s="32"/>
      <c r="T38" s="32"/>
      <c r="X38" s="33" t="e">
        <f t="shared" si="7"/>
        <v>#N/A</v>
      </c>
      <c r="Y38" s="34" t="e">
        <f t="shared" si="0"/>
        <v>#N/A</v>
      </c>
      <c r="Z38" s="34" t="e">
        <f t="shared" si="1"/>
        <v>#N/A</v>
      </c>
      <c r="AA38" s="34" t="e">
        <f t="shared" si="2"/>
        <v>#N/A</v>
      </c>
      <c r="AB38" s="35" t="e">
        <f t="shared" si="3"/>
        <v>#N/A</v>
      </c>
      <c r="AD38" s="32"/>
      <c r="AE38" s="32"/>
    </row>
    <row r="39" spans="1:31" s="31" customFormat="1" ht="14.1" customHeight="1" x14ac:dyDescent="0.35">
      <c r="A39" s="44">
        <v>22</v>
      </c>
      <c r="B39" s="18"/>
      <c r="C39" s="19"/>
      <c r="D39" s="20"/>
      <c r="E39" s="42" t="str">
        <f t="shared" si="4"/>
        <v/>
      </c>
      <c r="F39" s="16"/>
      <c r="G39" s="17"/>
      <c r="H39" s="17"/>
      <c r="I39" s="17"/>
      <c r="J39" s="17"/>
      <c r="K39" s="17"/>
      <c r="L39" s="29" t="str">
        <f t="shared" si="5"/>
        <v/>
      </c>
      <c r="M39" s="30" t="str">
        <f t="shared" si="8"/>
        <v xml:space="preserve"> </v>
      </c>
      <c r="N39" s="30" t="str">
        <f t="shared" si="6"/>
        <v xml:space="preserve"> </v>
      </c>
      <c r="R39" s="32"/>
      <c r="S39" s="32"/>
      <c r="T39" s="32"/>
      <c r="X39" s="33" t="e">
        <f t="shared" si="7"/>
        <v>#N/A</v>
      </c>
      <c r="Y39" s="34" t="e">
        <f t="shared" si="0"/>
        <v>#N/A</v>
      </c>
      <c r="Z39" s="34" t="e">
        <f t="shared" si="1"/>
        <v>#N/A</v>
      </c>
      <c r="AA39" s="34" t="e">
        <f t="shared" si="2"/>
        <v>#N/A</v>
      </c>
      <c r="AB39" s="35" t="e">
        <f t="shared" si="3"/>
        <v>#N/A</v>
      </c>
      <c r="AD39" s="32"/>
      <c r="AE39" s="32"/>
    </row>
    <row r="40" spans="1:31" s="31" customFormat="1" ht="14.1" customHeight="1" x14ac:dyDescent="0.35">
      <c r="A40" s="44">
        <v>23</v>
      </c>
      <c r="B40" s="18"/>
      <c r="C40" s="19"/>
      <c r="D40" s="20"/>
      <c r="E40" s="42" t="str">
        <f t="shared" si="4"/>
        <v/>
      </c>
      <c r="F40" s="16"/>
      <c r="G40" s="17"/>
      <c r="H40" s="17"/>
      <c r="I40" s="17"/>
      <c r="J40" s="17"/>
      <c r="K40" s="17"/>
      <c r="L40" s="29" t="str">
        <f t="shared" si="5"/>
        <v/>
      </c>
      <c r="M40" s="30" t="str">
        <f t="shared" si="8"/>
        <v xml:space="preserve"> </v>
      </c>
      <c r="N40" s="30" t="str">
        <f t="shared" si="6"/>
        <v xml:space="preserve"> </v>
      </c>
      <c r="R40" s="32"/>
      <c r="S40" s="32"/>
      <c r="T40" s="32"/>
      <c r="X40" s="33" t="e">
        <f t="shared" si="7"/>
        <v>#N/A</v>
      </c>
      <c r="Y40" s="34" t="e">
        <f t="shared" si="0"/>
        <v>#N/A</v>
      </c>
      <c r="Z40" s="34" t="e">
        <f t="shared" si="1"/>
        <v>#N/A</v>
      </c>
      <c r="AA40" s="34" t="e">
        <f t="shared" si="2"/>
        <v>#N/A</v>
      </c>
      <c r="AB40" s="35" t="e">
        <f t="shared" si="3"/>
        <v>#N/A</v>
      </c>
      <c r="AD40" s="32"/>
      <c r="AE40" s="32"/>
    </row>
    <row r="41" spans="1:31" s="31" customFormat="1" ht="14.1" customHeight="1" x14ac:dyDescent="0.35">
      <c r="A41" s="44">
        <v>24</v>
      </c>
      <c r="B41" s="18"/>
      <c r="C41" s="19"/>
      <c r="D41" s="20"/>
      <c r="E41" s="42" t="str">
        <f t="shared" si="4"/>
        <v/>
      </c>
      <c r="F41" s="16"/>
      <c r="G41" s="17"/>
      <c r="H41" s="17"/>
      <c r="I41" s="17"/>
      <c r="J41" s="17"/>
      <c r="K41" s="17"/>
      <c r="L41" s="29" t="str">
        <f t="shared" si="5"/>
        <v/>
      </c>
      <c r="M41" s="30" t="str">
        <f t="shared" si="8"/>
        <v xml:space="preserve"> </v>
      </c>
      <c r="N41" s="30" t="str">
        <f t="shared" si="6"/>
        <v xml:space="preserve"> </v>
      </c>
      <c r="R41" s="32"/>
      <c r="S41" s="32"/>
      <c r="T41" s="32"/>
      <c r="X41" s="33" t="e">
        <f t="shared" si="7"/>
        <v>#N/A</v>
      </c>
      <c r="Y41" s="34" t="e">
        <f t="shared" si="0"/>
        <v>#N/A</v>
      </c>
      <c r="Z41" s="34" t="e">
        <f t="shared" si="1"/>
        <v>#N/A</v>
      </c>
      <c r="AA41" s="34" t="e">
        <f t="shared" si="2"/>
        <v>#N/A</v>
      </c>
      <c r="AB41" s="35" t="e">
        <f t="shared" si="3"/>
        <v>#N/A</v>
      </c>
      <c r="AD41" s="32"/>
      <c r="AE41" s="32"/>
    </row>
    <row r="42" spans="1:31" s="31" customFormat="1" ht="14.1" customHeight="1" x14ac:dyDescent="0.35">
      <c r="A42" s="44">
        <v>25</v>
      </c>
      <c r="B42" s="18"/>
      <c r="C42" s="19"/>
      <c r="D42" s="20"/>
      <c r="E42" s="42" t="str">
        <f t="shared" si="4"/>
        <v/>
      </c>
      <c r="F42" s="16"/>
      <c r="G42" s="17"/>
      <c r="H42" s="17"/>
      <c r="I42" s="17"/>
      <c r="J42" s="17"/>
      <c r="K42" s="17"/>
      <c r="L42" s="29" t="str">
        <f t="shared" si="5"/>
        <v/>
      </c>
      <c r="M42" s="30" t="str">
        <f t="shared" si="8"/>
        <v xml:space="preserve"> </v>
      </c>
      <c r="N42" s="30" t="str">
        <f t="shared" si="6"/>
        <v xml:space="preserve"> </v>
      </c>
      <c r="R42" s="32"/>
      <c r="S42" s="32"/>
      <c r="T42" s="32"/>
      <c r="X42" s="33" t="e">
        <f t="shared" si="7"/>
        <v>#N/A</v>
      </c>
      <c r="Y42" s="34" t="e">
        <f t="shared" si="0"/>
        <v>#N/A</v>
      </c>
      <c r="Z42" s="34" t="e">
        <f t="shared" si="1"/>
        <v>#N/A</v>
      </c>
      <c r="AA42" s="34" t="e">
        <f t="shared" si="2"/>
        <v>#N/A</v>
      </c>
      <c r="AB42" s="35" t="e">
        <f t="shared" si="3"/>
        <v>#N/A</v>
      </c>
      <c r="AD42" s="32"/>
      <c r="AE42" s="32"/>
    </row>
    <row r="43" spans="1:31" s="31" customFormat="1" ht="14.1" customHeight="1" x14ac:dyDescent="0.35">
      <c r="A43" s="44">
        <v>26</v>
      </c>
      <c r="B43" s="18"/>
      <c r="C43" s="19"/>
      <c r="D43" s="20"/>
      <c r="E43" s="41" t="str">
        <f t="shared" si="4"/>
        <v/>
      </c>
      <c r="F43" s="16"/>
      <c r="G43" s="17"/>
      <c r="H43" s="17"/>
      <c r="I43" s="17"/>
      <c r="J43" s="17"/>
      <c r="K43" s="17"/>
      <c r="L43" s="29" t="str">
        <f t="shared" si="5"/>
        <v/>
      </c>
      <c r="M43" s="30" t="str">
        <f t="shared" si="8"/>
        <v xml:space="preserve"> </v>
      </c>
      <c r="N43" s="30" t="str">
        <f t="shared" si="6"/>
        <v xml:space="preserve"> </v>
      </c>
      <c r="R43" s="32"/>
      <c r="S43" s="32"/>
      <c r="T43" s="32"/>
      <c r="X43" s="33" t="e">
        <f t="shared" si="7"/>
        <v>#N/A</v>
      </c>
      <c r="Y43" s="34" t="e">
        <f t="shared" si="0"/>
        <v>#N/A</v>
      </c>
      <c r="Z43" s="34" t="e">
        <f t="shared" si="1"/>
        <v>#N/A</v>
      </c>
      <c r="AA43" s="34" t="e">
        <f t="shared" si="2"/>
        <v>#N/A</v>
      </c>
      <c r="AB43" s="35" t="e">
        <f t="shared" si="3"/>
        <v>#N/A</v>
      </c>
      <c r="AD43" s="32"/>
      <c r="AE43" s="32"/>
    </row>
    <row r="44" spans="1:31" s="31" customFormat="1" ht="14.1" customHeight="1" x14ac:dyDescent="0.35">
      <c r="A44" s="44">
        <v>27</v>
      </c>
      <c r="B44" s="18"/>
      <c r="C44" s="19"/>
      <c r="D44" s="20"/>
      <c r="E44" s="40" t="str">
        <f t="shared" si="4"/>
        <v/>
      </c>
      <c r="F44" s="16"/>
      <c r="G44" s="17"/>
      <c r="H44" s="17"/>
      <c r="I44" s="17"/>
      <c r="J44" s="17"/>
      <c r="K44" s="17"/>
      <c r="L44" s="29" t="str">
        <f t="shared" si="5"/>
        <v/>
      </c>
      <c r="M44" s="30" t="str">
        <f t="shared" si="8"/>
        <v xml:space="preserve"> </v>
      </c>
      <c r="N44" s="30" t="str">
        <f t="shared" si="6"/>
        <v xml:space="preserve"> </v>
      </c>
      <c r="R44" s="32"/>
      <c r="S44" s="32"/>
      <c r="T44" s="32"/>
      <c r="X44" s="33" t="e">
        <f t="shared" si="7"/>
        <v>#N/A</v>
      </c>
      <c r="Y44" s="34" t="e">
        <f t="shared" si="0"/>
        <v>#N/A</v>
      </c>
      <c r="Z44" s="34" t="e">
        <f t="shared" si="1"/>
        <v>#N/A</v>
      </c>
      <c r="AA44" s="34" t="e">
        <f t="shared" si="2"/>
        <v>#N/A</v>
      </c>
      <c r="AB44" s="35" t="e">
        <f t="shared" si="3"/>
        <v>#N/A</v>
      </c>
      <c r="AD44" s="32"/>
      <c r="AE44" s="32"/>
    </row>
    <row r="45" spans="1:31" s="31" customFormat="1" ht="14.1" customHeight="1" x14ac:dyDescent="0.35">
      <c r="A45" s="44">
        <v>28</v>
      </c>
      <c r="B45" s="18"/>
      <c r="C45" s="19"/>
      <c r="D45" s="20"/>
      <c r="E45" s="41" t="str">
        <f t="shared" si="4"/>
        <v/>
      </c>
      <c r="F45" s="16"/>
      <c r="G45" s="17"/>
      <c r="H45" s="17"/>
      <c r="I45" s="17"/>
      <c r="J45" s="17"/>
      <c r="K45" s="17"/>
      <c r="L45" s="29" t="str">
        <f t="shared" si="5"/>
        <v/>
      </c>
      <c r="M45" s="30" t="str">
        <f t="shared" si="8"/>
        <v xml:space="preserve"> </v>
      </c>
      <c r="N45" s="30" t="str">
        <f t="shared" si="6"/>
        <v xml:space="preserve"> </v>
      </c>
      <c r="R45" s="32"/>
      <c r="S45" s="32"/>
      <c r="T45" s="32"/>
      <c r="X45" s="33" t="e">
        <f t="shared" si="7"/>
        <v>#N/A</v>
      </c>
      <c r="Y45" s="34" t="e">
        <f t="shared" si="0"/>
        <v>#N/A</v>
      </c>
      <c r="Z45" s="34" t="e">
        <f t="shared" si="1"/>
        <v>#N/A</v>
      </c>
      <c r="AA45" s="34" t="e">
        <f t="shared" si="2"/>
        <v>#N/A</v>
      </c>
      <c r="AB45" s="35" t="e">
        <f t="shared" si="3"/>
        <v>#N/A</v>
      </c>
      <c r="AD45" s="32"/>
      <c r="AE45" s="32"/>
    </row>
    <row r="46" spans="1:31" s="31" customFormat="1" ht="14.1" customHeight="1" x14ac:dyDescent="0.35">
      <c r="A46" s="44">
        <v>29</v>
      </c>
      <c r="B46" s="18"/>
      <c r="C46" s="19"/>
      <c r="D46" s="20"/>
      <c r="E46" s="40" t="str">
        <f t="shared" si="4"/>
        <v/>
      </c>
      <c r="F46" s="16"/>
      <c r="G46" s="17"/>
      <c r="H46" s="17"/>
      <c r="I46" s="17"/>
      <c r="J46" s="17"/>
      <c r="K46" s="17"/>
      <c r="L46" s="29" t="str">
        <f t="shared" si="5"/>
        <v/>
      </c>
      <c r="M46" s="30" t="str">
        <f t="shared" si="8"/>
        <v xml:space="preserve"> </v>
      </c>
      <c r="N46" s="30" t="str">
        <f t="shared" si="6"/>
        <v xml:space="preserve"> </v>
      </c>
      <c r="R46" s="32"/>
      <c r="S46" s="32"/>
      <c r="T46" s="32"/>
      <c r="X46" s="33" t="e">
        <f t="shared" si="7"/>
        <v>#N/A</v>
      </c>
      <c r="Y46" s="34" t="e">
        <f t="shared" si="0"/>
        <v>#N/A</v>
      </c>
      <c r="Z46" s="34" t="e">
        <f t="shared" si="1"/>
        <v>#N/A</v>
      </c>
      <c r="AA46" s="34" t="e">
        <f t="shared" si="2"/>
        <v>#N/A</v>
      </c>
      <c r="AB46" s="35" t="e">
        <f t="shared" si="3"/>
        <v>#N/A</v>
      </c>
      <c r="AD46" s="32"/>
      <c r="AE46" s="32"/>
    </row>
    <row r="47" spans="1:31" s="31" customFormat="1" ht="14.1" customHeight="1" x14ac:dyDescent="0.35">
      <c r="A47" s="44">
        <v>30</v>
      </c>
      <c r="B47" s="18"/>
      <c r="C47" s="19"/>
      <c r="D47" s="20"/>
      <c r="E47" s="42" t="str">
        <f t="shared" si="4"/>
        <v/>
      </c>
      <c r="F47" s="16"/>
      <c r="G47" s="17"/>
      <c r="H47" s="17"/>
      <c r="I47" s="17"/>
      <c r="J47" s="17"/>
      <c r="K47" s="17"/>
      <c r="L47" s="29" t="str">
        <f t="shared" si="5"/>
        <v/>
      </c>
      <c r="M47" s="30" t="str">
        <f t="shared" si="8"/>
        <v xml:space="preserve"> </v>
      </c>
      <c r="N47" s="30" t="str">
        <f t="shared" si="6"/>
        <v xml:space="preserve"> </v>
      </c>
      <c r="R47" s="32"/>
      <c r="S47" s="32"/>
      <c r="T47" s="32"/>
      <c r="X47" s="33" t="e">
        <f t="shared" si="7"/>
        <v>#N/A</v>
      </c>
      <c r="Y47" s="34" t="e">
        <f t="shared" si="0"/>
        <v>#N/A</v>
      </c>
      <c r="Z47" s="34" t="e">
        <f t="shared" si="1"/>
        <v>#N/A</v>
      </c>
      <c r="AA47" s="34" t="e">
        <f t="shared" si="2"/>
        <v>#N/A</v>
      </c>
      <c r="AB47" s="35" t="e">
        <f t="shared" si="3"/>
        <v>#N/A</v>
      </c>
      <c r="AD47" s="32"/>
      <c r="AE47" s="32"/>
    </row>
    <row r="48" spans="1:31" s="31" customFormat="1" ht="14.1" customHeight="1" x14ac:dyDescent="0.35">
      <c r="A48" s="44">
        <v>31</v>
      </c>
      <c r="B48" s="18"/>
      <c r="C48" s="19"/>
      <c r="D48" s="20"/>
      <c r="E48" s="42" t="str">
        <f t="shared" si="4"/>
        <v/>
      </c>
      <c r="F48" s="16"/>
      <c r="G48" s="17"/>
      <c r="H48" s="17"/>
      <c r="I48" s="17"/>
      <c r="J48" s="17"/>
      <c r="K48" s="17"/>
      <c r="L48" s="29" t="str">
        <f t="shared" si="5"/>
        <v/>
      </c>
      <c r="M48" s="30" t="str">
        <f t="shared" si="8"/>
        <v xml:space="preserve"> </v>
      </c>
      <c r="N48" s="30" t="str">
        <f t="shared" si="6"/>
        <v xml:space="preserve"> </v>
      </c>
      <c r="R48" s="32"/>
      <c r="S48" s="32"/>
      <c r="T48" s="32"/>
      <c r="X48" s="33" t="e">
        <f t="shared" si="7"/>
        <v>#N/A</v>
      </c>
      <c r="Y48" s="34" t="e">
        <f t="shared" si="0"/>
        <v>#N/A</v>
      </c>
      <c r="Z48" s="34" t="e">
        <f t="shared" si="1"/>
        <v>#N/A</v>
      </c>
      <c r="AA48" s="34" t="e">
        <f t="shared" si="2"/>
        <v>#N/A</v>
      </c>
      <c r="AB48" s="35" t="e">
        <f t="shared" si="3"/>
        <v>#N/A</v>
      </c>
      <c r="AD48" s="32"/>
      <c r="AE48" s="32"/>
    </row>
    <row r="49" spans="1:31" s="31" customFormat="1" ht="14.1" customHeight="1" x14ac:dyDescent="0.35">
      <c r="A49" s="44">
        <v>32</v>
      </c>
      <c r="B49" s="18"/>
      <c r="C49" s="19"/>
      <c r="D49" s="20"/>
      <c r="E49" s="42" t="str">
        <f t="shared" si="4"/>
        <v/>
      </c>
      <c r="F49" s="16"/>
      <c r="G49" s="17"/>
      <c r="H49" s="17"/>
      <c r="I49" s="17"/>
      <c r="J49" s="17"/>
      <c r="K49" s="17"/>
      <c r="L49" s="29" t="str">
        <f t="shared" si="5"/>
        <v/>
      </c>
      <c r="M49" s="30" t="str">
        <f t="shared" si="8"/>
        <v xml:space="preserve"> </v>
      </c>
      <c r="N49" s="30" t="str">
        <f t="shared" si="6"/>
        <v xml:space="preserve"> </v>
      </c>
      <c r="R49" s="32"/>
      <c r="S49" s="32"/>
      <c r="T49" s="32"/>
      <c r="X49" s="33" t="e">
        <f t="shared" si="7"/>
        <v>#N/A</v>
      </c>
      <c r="Y49" s="34" t="e">
        <f t="shared" si="0"/>
        <v>#N/A</v>
      </c>
      <c r="Z49" s="34" t="e">
        <f t="shared" si="1"/>
        <v>#N/A</v>
      </c>
      <c r="AA49" s="34" t="e">
        <f t="shared" si="2"/>
        <v>#N/A</v>
      </c>
      <c r="AB49" s="35" t="e">
        <f t="shared" si="3"/>
        <v>#N/A</v>
      </c>
      <c r="AD49" s="32"/>
      <c r="AE49" s="32"/>
    </row>
    <row r="50" spans="1:31" s="31" customFormat="1" ht="14.1" customHeight="1" x14ac:dyDescent="0.35">
      <c r="A50" s="44">
        <v>33</v>
      </c>
      <c r="B50" s="18"/>
      <c r="C50" s="19"/>
      <c r="D50" s="20"/>
      <c r="E50" s="42" t="str">
        <f t="shared" si="4"/>
        <v/>
      </c>
      <c r="F50" s="16"/>
      <c r="G50" s="17"/>
      <c r="H50" s="17"/>
      <c r="I50" s="17"/>
      <c r="J50" s="17"/>
      <c r="K50" s="17"/>
      <c r="L50" s="29" t="str">
        <f t="shared" si="5"/>
        <v/>
      </c>
      <c r="M50" s="30" t="str">
        <f t="shared" si="8"/>
        <v xml:space="preserve"> </v>
      </c>
      <c r="N50" s="30" t="str">
        <f t="shared" si="6"/>
        <v xml:space="preserve"> </v>
      </c>
      <c r="P50" s="5"/>
      <c r="Q50" s="5"/>
      <c r="R50" s="28"/>
      <c r="S50" s="28"/>
      <c r="T50" s="28"/>
      <c r="X50" s="33" t="e">
        <f t="shared" si="7"/>
        <v>#N/A</v>
      </c>
      <c r="Y50" s="34" t="e">
        <f t="shared" si="0"/>
        <v>#N/A</v>
      </c>
      <c r="Z50" s="34" t="e">
        <f t="shared" si="1"/>
        <v>#N/A</v>
      </c>
      <c r="AA50" s="34" t="e">
        <f t="shared" si="2"/>
        <v>#N/A</v>
      </c>
      <c r="AB50" s="35" t="e">
        <f t="shared" si="3"/>
        <v>#N/A</v>
      </c>
      <c r="AD50" s="32"/>
      <c r="AE50" s="32"/>
    </row>
    <row r="51" spans="1:31" s="31" customFormat="1" ht="14.1" customHeight="1" x14ac:dyDescent="0.35">
      <c r="A51" s="44">
        <v>34</v>
      </c>
      <c r="B51" s="18"/>
      <c r="C51" s="19"/>
      <c r="D51" s="20"/>
      <c r="E51" s="42" t="str">
        <f t="shared" si="4"/>
        <v/>
      </c>
      <c r="F51" s="16"/>
      <c r="G51" s="17"/>
      <c r="H51" s="17"/>
      <c r="I51" s="17"/>
      <c r="J51" s="17"/>
      <c r="K51" s="17"/>
      <c r="L51" s="29" t="str">
        <f t="shared" si="5"/>
        <v/>
      </c>
      <c r="M51" s="30" t="str">
        <f t="shared" si="8"/>
        <v xml:space="preserve"> </v>
      </c>
      <c r="N51" s="30" t="str">
        <f t="shared" si="6"/>
        <v xml:space="preserve"> </v>
      </c>
      <c r="P51" s="5"/>
      <c r="Q51" s="5"/>
      <c r="R51" s="28"/>
      <c r="S51" s="28"/>
      <c r="T51" s="28"/>
      <c r="U51" s="5"/>
      <c r="X51" s="33" t="e">
        <f t="shared" si="7"/>
        <v>#N/A</v>
      </c>
      <c r="Y51" s="34" t="e">
        <f t="shared" si="0"/>
        <v>#N/A</v>
      </c>
      <c r="Z51" s="34" t="e">
        <f t="shared" si="1"/>
        <v>#N/A</v>
      </c>
      <c r="AA51" s="34" t="e">
        <f t="shared" si="2"/>
        <v>#N/A</v>
      </c>
      <c r="AB51" s="35" t="e">
        <f t="shared" si="3"/>
        <v>#N/A</v>
      </c>
      <c r="AD51" s="32"/>
      <c r="AE51" s="32"/>
    </row>
    <row r="52" spans="1:31" s="31" customFormat="1" ht="14.1" customHeight="1" x14ac:dyDescent="0.35">
      <c r="A52" s="44">
        <v>35</v>
      </c>
      <c r="B52" s="18"/>
      <c r="C52" s="19"/>
      <c r="D52" s="20"/>
      <c r="E52" s="42" t="str">
        <f t="shared" si="4"/>
        <v/>
      </c>
      <c r="F52" s="16"/>
      <c r="G52" s="17"/>
      <c r="H52" s="17"/>
      <c r="I52" s="17"/>
      <c r="J52" s="17"/>
      <c r="K52" s="17"/>
      <c r="L52" s="29" t="str">
        <f t="shared" si="5"/>
        <v/>
      </c>
      <c r="M52" s="30" t="str">
        <f t="shared" si="8"/>
        <v xml:space="preserve"> </v>
      </c>
      <c r="N52" s="30" t="str">
        <f t="shared" si="6"/>
        <v xml:space="preserve"> </v>
      </c>
      <c r="P52" s="5"/>
      <c r="Q52" s="5"/>
      <c r="R52" s="28"/>
      <c r="S52" s="28"/>
      <c r="T52" s="28"/>
      <c r="U52" s="5"/>
      <c r="V52" s="5"/>
      <c r="X52" s="33" t="e">
        <f t="shared" si="7"/>
        <v>#N/A</v>
      </c>
      <c r="Y52" s="34" t="e">
        <f t="shared" si="0"/>
        <v>#N/A</v>
      </c>
      <c r="Z52" s="34" t="e">
        <f t="shared" si="1"/>
        <v>#N/A</v>
      </c>
      <c r="AA52" s="34" t="e">
        <f t="shared" si="2"/>
        <v>#N/A</v>
      </c>
      <c r="AB52" s="35" t="e">
        <f t="shared" si="3"/>
        <v>#N/A</v>
      </c>
      <c r="AD52" s="32"/>
      <c r="AE52" s="32"/>
    </row>
    <row r="53" spans="1:31" s="31" customFormat="1" ht="14.1" customHeight="1" x14ac:dyDescent="0.35">
      <c r="A53" s="44">
        <v>36</v>
      </c>
      <c r="B53" s="18"/>
      <c r="C53" s="19"/>
      <c r="D53" s="20"/>
      <c r="E53" s="42" t="str">
        <f t="shared" si="4"/>
        <v/>
      </c>
      <c r="F53" s="16"/>
      <c r="G53" s="17"/>
      <c r="H53" s="17"/>
      <c r="I53" s="17"/>
      <c r="J53" s="17"/>
      <c r="K53" s="17"/>
      <c r="L53" s="29" t="str">
        <f t="shared" si="5"/>
        <v/>
      </c>
      <c r="M53" s="30" t="str">
        <f t="shared" si="8"/>
        <v xml:space="preserve"> </v>
      </c>
      <c r="N53" s="30" t="str">
        <f t="shared" si="6"/>
        <v xml:space="preserve"> </v>
      </c>
      <c r="P53" s="5"/>
      <c r="Q53" s="5"/>
      <c r="R53" s="28"/>
      <c r="S53" s="28"/>
      <c r="T53" s="28"/>
      <c r="U53" s="5"/>
      <c r="V53" s="5"/>
      <c r="X53" s="33" t="e">
        <f t="shared" si="7"/>
        <v>#N/A</v>
      </c>
      <c r="Y53" s="34" t="e">
        <f t="shared" si="0"/>
        <v>#N/A</v>
      </c>
      <c r="Z53" s="34" t="e">
        <f t="shared" si="1"/>
        <v>#N/A</v>
      </c>
      <c r="AA53" s="34" t="e">
        <f t="shared" si="2"/>
        <v>#N/A</v>
      </c>
      <c r="AB53" s="35" t="e">
        <f t="shared" si="3"/>
        <v>#N/A</v>
      </c>
      <c r="AD53" s="32"/>
      <c r="AE53" s="32"/>
    </row>
    <row r="54" spans="1:31" s="31" customFormat="1" ht="14.1" customHeight="1" x14ac:dyDescent="0.35">
      <c r="A54" s="44">
        <v>37</v>
      </c>
      <c r="B54" s="18"/>
      <c r="C54" s="19"/>
      <c r="D54" s="20"/>
      <c r="E54" s="42" t="str">
        <f t="shared" si="4"/>
        <v/>
      </c>
      <c r="F54" s="16"/>
      <c r="G54" s="17"/>
      <c r="H54" s="17"/>
      <c r="I54" s="17"/>
      <c r="J54" s="17"/>
      <c r="K54" s="17"/>
      <c r="L54" s="29" t="str">
        <f t="shared" si="5"/>
        <v/>
      </c>
      <c r="M54" s="30" t="str">
        <f t="shared" si="8"/>
        <v xml:space="preserve"> </v>
      </c>
      <c r="N54" s="30" t="str">
        <f t="shared" si="6"/>
        <v xml:space="preserve"> </v>
      </c>
      <c r="P54" s="5"/>
      <c r="Q54" s="5"/>
      <c r="R54" s="28"/>
      <c r="S54" s="28"/>
      <c r="T54" s="28"/>
      <c r="U54" s="5"/>
      <c r="V54" s="5"/>
      <c r="X54" s="33" t="e">
        <f t="shared" si="7"/>
        <v>#N/A</v>
      </c>
      <c r="Y54" s="34" t="e">
        <f t="shared" si="0"/>
        <v>#N/A</v>
      </c>
      <c r="Z54" s="34" t="e">
        <f t="shared" si="1"/>
        <v>#N/A</v>
      </c>
      <c r="AA54" s="34" t="e">
        <f t="shared" si="2"/>
        <v>#N/A</v>
      </c>
      <c r="AB54" s="35" t="e">
        <f t="shared" si="3"/>
        <v>#N/A</v>
      </c>
      <c r="AD54" s="32"/>
      <c r="AE54" s="32"/>
    </row>
    <row r="55" spans="1:31" s="31" customFormat="1" ht="14.1" customHeight="1" x14ac:dyDescent="0.35">
      <c r="A55" s="44">
        <v>38</v>
      </c>
      <c r="B55" s="18"/>
      <c r="C55" s="19"/>
      <c r="D55" s="20"/>
      <c r="E55" s="42" t="str">
        <f t="shared" si="4"/>
        <v/>
      </c>
      <c r="F55" s="16"/>
      <c r="G55" s="17"/>
      <c r="H55" s="17"/>
      <c r="I55" s="17"/>
      <c r="J55" s="17"/>
      <c r="K55" s="17"/>
      <c r="L55" s="29" t="str">
        <f t="shared" si="5"/>
        <v/>
      </c>
      <c r="M55" s="30" t="str">
        <f t="shared" si="8"/>
        <v xml:space="preserve"> </v>
      </c>
      <c r="N55" s="30" t="str">
        <f t="shared" si="6"/>
        <v xml:space="preserve"> </v>
      </c>
      <c r="P55" s="5"/>
      <c r="Q55" s="5"/>
      <c r="R55" s="28"/>
      <c r="S55" s="28"/>
      <c r="T55" s="28"/>
      <c r="U55" s="5"/>
      <c r="V55" s="5"/>
      <c r="X55" s="33" t="e">
        <f t="shared" si="7"/>
        <v>#N/A</v>
      </c>
      <c r="Y55" s="34" t="e">
        <f t="shared" si="0"/>
        <v>#N/A</v>
      </c>
      <c r="Z55" s="34" t="e">
        <f t="shared" si="1"/>
        <v>#N/A</v>
      </c>
      <c r="AA55" s="34" t="e">
        <f t="shared" si="2"/>
        <v>#N/A</v>
      </c>
      <c r="AB55" s="35" t="e">
        <f t="shared" si="3"/>
        <v>#N/A</v>
      </c>
      <c r="AD55" s="32"/>
      <c r="AE55" s="32"/>
    </row>
    <row r="56" spans="1:31" s="31" customFormat="1" ht="14.1" customHeight="1" x14ac:dyDescent="0.35">
      <c r="A56" s="44">
        <v>39</v>
      </c>
      <c r="B56" s="18"/>
      <c r="C56" s="19"/>
      <c r="D56" s="20"/>
      <c r="E56" s="42" t="str">
        <f t="shared" si="4"/>
        <v/>
      </c>
      <c r="F56" s="16"/>
      <c r="G56" s="17"/>
      <c r="H56" s="17"/>
      <c r="I56" s="17"/>
      <c r="J56" s="17"/>
      <c r="K56" s="17"/>
      <c r="L56" s="29" t="str">
        <f t="shared" si="5"/>
        <v/>
      </c>
      <c r="M56" s="30" t="str">
        <f t="shared" si="8"/>
        <v xml:space="preserve"> </v>
      </c>
      <c r="N56" s="30" t="str">
        <f t="shared" si="6"/>
        <v xml:space="preserve"> </v>
      </c>
      <c r="P56" s="5"/>
      <c r="Q56" s="5"/>
      <c r="R56" s="28"/>
      <c r="S56" s="28"/>
      <c r="T56" s="28"/>
      <c r="U56" s="5"/>
      <c r="V56" s="5"/>
      <c r="X56" s="33" t="e">
        <f t="shared" si="7"/>
        <v>#N/A</v>
      </c>
      <c r="Y56" s="34" t="e">
        <f t="shared" si="0"/>
        <v>#N/A</v>
      </c>
      <c r="Z56" s="34" t="e">
        <f t="shared" si="1"/>
        <v>#N/A</v>
      </c>
      <c r="AA56" s="34" t="e">
        <f t="shared" si="2"/>
        <v>#N/A</v>
      </c>
      <c r="AB56" s="35" t="e">
        <f t="shared" si="3"/>
        <v>#N/A</v>
      </c>
      <c r="AD56" s="32"/>
      <c r="AE56" s="32"/>
    </row>
    <row r="57" spans="1:31" s="31" customFormat="1" ht="14.1" customHeight="1" thickBot="1" x14ac:dyDescent="0.4">
      <c r="A57" s="45">
        <v>40</v>
      </c>
      <c r="B57" s="21"/>
      <c r="C57" s="22"/>
      <c r="D57" s="23"/>
      <c r="E57" s="43" t="str">
        <f t="shared" si="4"/>
        <v/>
      </c>
      <c r="F57" s="16"/>
      <c r="G57" s="17"/>
      <c r="H57" s="17"/>
      <c r="I57" s="17"/>
      <c r="J57" s="17"/>
      <c r="K57" s="17"/>
      <c r="L57" s="36" t="str">
        <f t="shared" si="5"/>
        <v/>
      </c>
      <c r="M57" s="30" t="str">
        <f t="shared" si="8"/>
        <v xml:space="preserve"> </v>
      </c>
      <c r="N57" s="30" t="str">
        <f t="shared" si="6"/>
        <v xml:space="preserve"> </v>
      </c>
      <c r="P57" s="5"/>
      <c r="Q57" s="5"/>
      <c r="R57" s="28"/>
      <c r="S57" s="28"/>
      <c r="T57" s="28"/>
      <c r="U57" s="5"/>
      <c r="V57" s="5"/>
      <c r="X57" s="37" t="e">
        <f t="shared" si="7"/>
        <v>#N/A</v>
      </c>
      <c r="Y57" s="38" t="e">
        <f t="shared" si="0"/>
        <v>#N/A</v>
      </c>
      <c r="Z57" s="38" t="e">
        <f t="shared" si="1"/>
        <v>#N/A</v>
      </c>
      <c r="AA57" s="38" t="e">
        <f t="shared" si="2"/>
        <v>#N/A</v>
      </c>
      <c r="AB57" s="39" t="e">
        <f t="shared" si="3"/>
        <v>#N/A</v>
      </c>
      <c r="AD57" s="32"/>
      <c r="AE57" s="32"/>
    </row>
    <row r="58" spans="1:31" ht="14.25" thickBot="1" x14ac:dyDescent="0.45">
      <c r="F58" s="24" t="s">
        <v>7</v>
      </c>
      <c r="G58" s="25">
        <f>COUNTA(G18:G57)</f>
        <v>0</v>
      </c>
      <c r="H58" s="25">
        <f t="shared" ref="H58:K58" si="9">COUNTA(H18:H57)</f>
        <v>0</v>
      </c>
      <c r="I58" s="25">
        <f t="shared" si="9"/>
        <v>0</v>
      </c>
      <c r="J58" s="25">
        <f t="shared" si="9"/>
        <v>0</v>
      </c>
      <c r="K58" s="26">
        <f t="shared" si="9"/>
        <v>0</v>
      </c>
      <c r="L58" s="27"/>
      <c r="M58" s="25">
        <f>COUNTIF(M18:M57,"X")</f>
        <v>0</v>
      </c>
      <c r="N58" s="25">
        <f>COUNTIF(N18:N57,"X")</f>
        <v>0</v>
      </c>
    </row>
  </sheetData>
  <sheetProtection algorithmName="SHA-512" hashValue="FCvbVSPxFI8JgvXpEbhpfTqyKsC/Oy7VvVPoFKtIDZEDEAs2O9DebSOauoCqaHaj+VVJepMBZm+acU1Yz14Arg==" saltValue="AtH8Ey8F7X+2x9iU850VgA==" spinCount="100000" sheet="1" objects="1" scenarios="1"/>
  <protectedRanges>
    <protectedRange sqref="C14 C12" name="Bereich1_1"/>
  </protectedRanges>
  <mergeCells count="12">
    <mergeCell ref="P24:P25"/>
    <mergeCell ref="P26:P28"/>
    <mergeCell ref="P18:P23"/>
    <mergeCell ref="A1:I6"/>
    <mergeCell ref="A16:A17"/>
    <mergeCell ref="B16:B17"/>
    <mergeCell ref="C16:C17"/>
    <mergeCell ref="A7:B7"/>
    <mergeCell ref="A9:N9"/>
    <mergeCell ref="C10:K10"/>
    <mergeCell ref="C12:F12"/>
    <mergeCell ref="C14:F14"/>
  </mergeCells>
  <dataValidations count="5">
    <dataValidation type="whole" allowBlank="1" showInputMessage="1" showErrorMessage="1" error="Jahrgang bitte 4-stellig eingeben" prompt="Jahrgang 4-stellig" sqref="D18:D57" xr:uid="{00000000-0002-0000-0100-000000000000}">
      <formula1>1900</formula1>
      <formula2>C10</formula2>
    </dataValidation>
    <dataValidation allowBlank="1" showInputMessage="1" showErrorMessage="1" error="Bitte Resultat zwischen 0 und 100 eingeben" sqref="X18:AB57" xr:uid="{00000000-0002-0000-0100-000001000000}"/>
    <dataValidation type="list" allowBlank="1" showInputMessage="1" showErrorMessage="1" sqref="F18:F57" xr:uid="{00000000-0002-0000-0100-000002000000}">
      <formula1>INDIRECT($F$17)</formula1>
    </dataValidation>
    <dataValidation allowBlank="1" showInputMessage="1" showErrorMessage="1" prompt="Auf Titelblatt auswählen" sqref="C14:F14 C12:F12" xr:uid="{00000000-0002-0000-0100-000003000000}"/>
    <dataValidation type="custom" allowBlank="1" showInputMessage="1" showErrorMessage="1" error="Bitte gültiges Resultat eingeben:_x000a_G300m und P50m zwischen 0 und 100_x000a_P25m zwischen 0 und 200" sqref="G18:K57" xr:uid="{00000000-0002-0000-0100-000004000000}">
      <formula1>IF($F$17="W25m",G18&lt;201,G18&lt;101)</formula1>
    </dataValidation>
  </dataValidations>
  <pageMargins left="0.7" right="0.7" top="0.78740157499999996" bottom="0.78740157499999996" header="0.3" footer="0.3"/>
  <pageSetup paperSize="9" scale="84" orientation="portrait" horizontalDpi="4294967295" verticalDpi="4294967295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3"/>
  <dimension ref="A1:K38"/>
  <sheetViews>
    <sheetView workbookViewId="0"/>
  </sheetViews>
  <sheetFormatPr baseColWidth="10" defaultColWidth="11.3984375" defaultRowHeight="12.75" x14ac:dyDescent="0.35"/>
  <cols>
    <col min="1" max="1" width="7.3984375" style="1" bestFit="1" customWidth="1"/>
    <col min="2" max="2" width="11.3984375" style="1"/>
    <col min="3" max="3" width="23.3984375" style="1" bestFit="1" customWidth="1"/>
    <col min="4" max="5" width="22.3984375" style="1" bestFit="1" customWidth="1"/>
    <col min="6" max="6" width="11.3984375" style="1" customWidth="1"/>
    <col min="7" max="7" width="7.59765625" style="1" bestFit="1" customWidth="1"/>
    <col min="8" max="8" width="7.59765625" style="1" customWidth="1"/>
    <col min="9" max="9" width="14.265625" style="1" bestFit="1" customWidth="1"/>
    <col min="10" max="10" width="9" style="1" bestFit="1" customWidth="1"/>
    <col min="11" max="11" width="7.86328125" style="1" bestFit="1" customWidth="1"/>
    <col min="12" max="16384" width="11.3984375" style="1"/>
  </cols>
  <sheetData>
    <row r="1" spans="1:11" ht="13.15" x14ac:dyDescent="0.4">
      <c r="A1" s="2" t="s">
        <v>23</v>
      </c>
      <c r="C1" s="2" t="s">
        <v>64</v>
      </c>
      <c r="D1" s="2" t="s">
        <v>6</v>
      </c>
      <c r="E1" s="2" t="s">
        <v>5</v>
      </c>
      <c r="F1" s="2"/>
      <c r="G1" s="2" t="s">
        <v>26</v>
      </c>
      <c r="H1" s="2"/>
      <c r="I1" s="2" t="s">
        <v>106</v>
      </c>
      <c r="J1" s="2" t="s">
        <v>107</v>
      </c>
      <c r="K1" s="2" t="s">
        <v>108</v>
      </c>
    </row>
    <row r="2" spans="1:11" x14ac:dyDescent="0.35">
      <c r="A2" s="1" t="s">
        <v>64</v>
      </c>
      <c r="C2" s="3" t="s">
        <v>65</v>
      </c>
      <c r="D2" s="3" t="s">
        <v>18</v>
      </c>
      <c r="E2" s="3" t="s">
        <v>17</v>
      </c>
      <c r="F2" s="3"/>
      <c r="G2" s="1" t="s">
        <v>106</v>
      </c>
      <c r="I2" s="4" t="s">
        <v>27</v>
      </c>
      <c r="J2" s="1" t="s">
        <v>32</v>
      </c>
      <c r="K2" s="1" t="s">
        <v>33</v>
      </c>
    </row>
    <row r="3" spans="1:11" x14ac:dyDescent="0.35">
      <c r="A3" s="1" t="s">
        <v>6</v>
      </c>
      <c r="C3" s="3" t="s">
        <v>66</v>
      </c>
      <c r="D3" s="3" t="s">
        <v>19</v>
      </c>
      <c r="E3" s="3" t="s">
        <v>18</v>
      </c>
      <c r="F3" s="3"/>
      <c r="G3" s="1" t="s">
        <v>107</v>
      </c>
      <c r="I3" s="4" t="s">
        <v>29</v>
      </c>
      <c r="J3" s="1" t="s">
        <v>31</v>
      </c>
      <c r="K3" s="1" t="s">
        <v>34</v>
      </c>
    </row>
    <row r="4" spans="1:11" x14ac:dyDescent="0.35">
      <c r="A4" s="1" t="s">
        <v>5</v>
      </c>
      <c r="C4" s="3" t="s">
        <v>67</v>
      </c>
      <c r="D4" s="3" t="s">
        <v>21</v>
      </c>
      <c r="E4" s="3" t="s">
        <v>19</v>
      </c>
      <c r="F4" s="3"/>
      <c r="G4" s="1" t="s">
        <v>108</v>
      </c>
      <c r="I4" s="4" t="s">
        <v>28</v>
      </c>
      <c r="K4" s="1" t="s">
        <v>30</v>
      </c>
    </row>
    <row r="5" spans="1:11" x14ac:dyDescent="0.35">
      <c r="C5" s="3" t="s">
        <v>68</v>
      </c>
      <c r="E5" s="3" t="s">
        <v>20</v>
      </c>
      <c r="F5" s="3"/>
      <c r="G5" s="3"/>
      <c r="H5" s="3"/>
      <c r="I5" s="4" t="s">
        <v>41</v>
      </c>
    </row>
    <row r="6" spans="1:11" x14ac:dyDescent="0.35">
      <c r="C6" s="3" t="s">
        <v>69</v>
      </c>
      <c r="E6" s="3" t="s">
        <v>21</v>
      </c>
      <c r="F6" s="3"/>
      <c r="G6" s="3"/>
      <c r="H6" s="3"/>
      <c r="I6" s="4" t="s">
        <v>42</v>
      </c>
    </row>
    <row r="7" spans="1:11" x14ac:dyDescent="0.35">
      <c r="C7" s="3" t="s">
        <v>70</v>
      </c>
      <c r="E7" s="3" t="s">
        <v>22</v>
      </c>
      <c r="F7" s="3"/>
      <c r="G7" s="3"/>
      <c r="H7" s="3"/>
      <c r="I7" s="4" t="s">
        <v>43</v>
      </c>
    </row>
    <row r="8" spans="1:11" x14ac:dyDescent="0.35">
      <c r="C8" s="3" t="s">
        <v>71</v>
      </c>
    </row>
    <row r="9" spans="1:11" x14ac:dyDescent="0.35">
      <c r="C9" s="3" t="s">
        <v>72</v>
      </c>
    </row>
    <row r="10" spans="1:11" x14ac:dyDescent="0.35">
      <c r="C10" s="3" t="s">
        <v>73</v>
      </c>
    </row>
    <row r="11" spans="1:11" x14ac:dyDescent="0.35">
      <c r="C11" s="3" t="s">
        <v>74</v>
      </c>
    </row>
    <row r="12" spans="1:11" x14ac:dyDescent="0.35">
      <c r="C12" s="3" t="s">
        <v>75</v>
      </c>
    </row>
    <row r="13" spans="1:11" x14ac:dyDescent="0.35">
      <c r="C13" s="3" t="s">
        <v>76</v>
      </c>
    </row>
    <row r="14" spans="1:11" x14ac:dyDescent="0.35">
      <c r="C14" s="3" t="s">
        <v>77</v>
      </c>
    </row>
    <row r="15" spans="1:11" x14ac:dyDescent="0.35">
      <c r="C15" s="3" t="s">
        <v>78</v>
      </c>
    </row>
    <row r="16" spans="1:11" x14ac:dyDescent="0.35">
      <c r="C16" s="3" t="s">
        <v>79</v>
      </c>
    </row>
    <row r="17" spans="3:3" x14ac:dyDescent="0.35">
      <c r="C17" s="3" t="s">
        <v>80</v>
      </c>
    </row>
    <row r="18" spans="3:3" x14ac:dyDescent="0.35">
      <c r="C18" s="3" t="s">
        <v>81</v>
      </c>
    </row>
    <row r="19" spans="3:3" x14ac:dyDescent="0.35">
      <c r="C19" s="3" t="s">
        <v>82</v>
      </c>
    </row>
    <row r="20" spans="3:3" x14ac:dyDescent="0.35">
      <c r="C20" s="3" t="s">
        <v>83</v>
      </c>
    </row>
    <row r="21" spans="3:3" x14ac:dyDescent="0.35">
      <c r="C21" s="3" t="s">
        <v>84</v>
      </c>
    </row>
    <row r="22" spans="3:3" x14ac:dyDescent="0.35">
      <c r="C22" s="3" t="s">
        <v>85</v>
      </c>
    </row>
    <row r="23" spans="3:3" x14ac:dyDescent="0.35">
      <c r="C23" s="3" t="s">
        <v>86</v>
      </c>
    </row>
    <row r="24" spans="3:3" x14ac:dyDescent="0.35">
      <c r="C24" s="3" t="s">
        <v>87</v>
      </c>
    </row>
    <row r="25" spans="3:3" x14ac:dyDescent="0.35">
      <c r="C25" s="3" t="s">
        <v>88</v>
      </c>
    </row>
    <row r="26" spans="3:3" x14ac:dyDescent="0.35">
      <c r="C26" s="3" t="s">
        <v>89</v>
      </c>
    </row>
    <row r="27" spans="3:3" x14ac:dyDescent="0.35">
      <c r="C27" s="3" t="s">
        <v>90</v>
      </c>
    </row>
    <row r="28" spans="3:3" x14ac:dyDescent="0.35">
      <c r="C28" s="3" t="s">
        <v>91</v>
      </c>
    </row>
    <row r="29" spans="3:3" x14ac:dyDescent="0.35">
      <c r="C29" s="3" t="s">
        <v>92</v>
      </c>
    </row>
    <row r="30" spans="3:3" x14ac:dyDescent="0.35">
      <c r="C30" s="3" t="s">
        <v>93</v>
      </c>
    </row>
    <row r="31" spans="3:3" x14ac:dyDescent="0.35">
      <c r="C31" s="3" t="s">
        <v>94</v>
      </c>
    </row>
    <row r="32" spans="3:3" x14ac:dyDescent="0.35">
      <c r="C32" s="3" t="s">
        <v>95</v>
      </c>
    </row>
    <row r="33" spans="3:3" x14ac:dyDescent="0.35">
      <c r="C33" s="3" t="s">
        <v>96</v>
      </c>
    </row>
    <row r="34" spans="3:3" x14ac:dyDescent="0.35">
      <c r="C34" s="3" t="s">
        <v>97</v>
      </c>
    </row>
    <row r="35" spans="3:3" x14ac:dyDescent="0.35">
      <c r="C35" s="3" t="s">
        <v>98</v>
      </c>
    </row>
    <row r="36" spans="3:3" x14ac:dyDescent="0.35">
      <c r="C36" s="3" t="s">
        <v>99</v>
      </c>
    </row>
    <row r="37" spans="3:3" x14ac:dyDescent="0.35">
      <c r="C37" s="3" t="s">
        <v>100</v>
      </c>
    </row>
    <row r="38" spans="3:3" x14ac:dyDescent="0.35">
      <c r="C38" s="3" t="s">
        <v>101</v>
      </c>
    </row>
  </sheetData>
  <sheetProtection algorithmName="SHA-512" hashValue="2vjS/YD4LYIyf1uaiVotVPe39NzCRcsWbD2AGIhVt+blp+GSuPrlDLeIyT3CgFBQf3q6lfyJIRxkNqOBtDKHJQ==" saltValue="SukEhOdTL6J7TyLLSO6keA==" spinCount="100000" sheet="1" objects="1" scenarios="1"/>
  <pageMargins left="0.7" right="0.7" top="0.78740157499999996" bottom="0.78740157499999996" header="0.3" footer="0.3"/>
  <pageSetup paperSize="9" orientation="portrait" horizontalDpi="4294967295" verticalDpi="4294967295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3</vt:i4>
      </vt:variant>
      <vt:variant>
        <vt:lpstr>Benannte Bereiche</vt:lpstr>
      </vt:variant>
      <vt:variant>
        <vt:i4>15</vt:i4>
      </vt:variant>
    </vt:vector>
  </HeadingPairs>
  <TitlesOfParts>
    <vt:vector size="18" baseType="lpstr">
      <vt:lpstr>Abrechnung</vt:lpstr>
      <vt:lpstr>Kontrollblatt</vt:lpstr>
      <vt:lpstr>Liste</vt:lpstr>
      <vt:lpstr>_25m</vt:lpstr>
      <vt:lpstr>_300m</vt:lpstr>
      <vt:lpstr>_50m</vt:lpstr>
      <vt:lpstr>Distanz</vt:lpstr>
      <vt:lpstr>Abrechnung!Druckbereich</vt:lpstr>
      <vt:lpstr>Kontrollblatt!Druckbereich</vt:lpstr>
      <vt:lpstr>G300m</vt:lpstr>
      <vt:lpstr>P25m</vt:lpstr>
      <vt:lpstr>P50m</vt:lpstr>
      <vt:lpstr>W25m</vt:lpstr>
      <vt:lpstr>W300m</vt:lpstr>
      <vt:lpstr>W50m</vt:lpstr>
      <vt:lpstr>Waffe</vt:lpstr>
      <vt:lpstr>Waffe_P25m</vt:lpstr>
      <vt:lpstr>Waffe_P50m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Renate Peters</dc:creator>
  <cp:lastModifiedBy>Markus Weber</cp:lastModifiedBy>
  <cp:lastPrinted>2023-03-04T12:46:51Z</cp:lastPrinted>
  <dcterms:created xsi:type="dcterms:W3CDTF">2023-02-18T15:15:23Z</dcterms:created>
  <dcterms:modified xsi:type="dcterms:W3CDTF">2026-02-19T17:46:59Z</dcterms:modified>
</cp:coreProperties>
</file>